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lwl1\Downloads\"/>
    </mc:Choice>
  </mc:AlternateContent>
  <xr:revisionPtr revIDLastSave="0" documentId="13_ncr:1_{88C562F3-0030-4417-AF19-439794AB4000}" xr6:coauthVersionLast="47" xr6:coauthVersionMax="47" xr10:uidLastSave="{00000000-0000-0000-0000-000000000000}"/>
  <bookViews>
    <workbookView xWindow="-108" yWindow="-108" windowWidth="24792" windowHeight="13440" xr2:uid="{254E55BE-0E9D-4F38-BBA3-0FD696FC017D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6" i="1" l="1" a="1"/>
  <c r="C96" i="1" s="1"/>
  <c r="C233" i="1" a="1"/>
  <c r="C233" i="1" s="1"/>
  <c r="C206" i="1" a="1"/>
  <c r="C206" i="1" s="1"/>
  <c r="C182" i="1" a="1"/>
  <c r="C182" i="1" s="1"/>
  <c r="C169" i="1" a="1"/>
  <c r="C169" i="1" s="1"/>
  <c r="C153" i="1" a="1"/>
  <c r="C153" i="1" s="1"/>
  <c r="C141" i="1" a="1"/>
  <c r="C141" i="1" s="1"/>
  <c r="C119" i="1" a="1"/>
  <c r="C119" i="1" s="1"/>
  <c r="C107" i="1" a="1"/>
  <c r="C10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<sst xmlns="http://schemas.openxmlformats.org/spreadsheetml/2006/main" count="620" uniqueCount="481">
  <si>
    <t>SIG_CD</t>
  </si>
  <si>
    <t>SIG_ENG_NM</t>
  </si>
  <si>
    <t>SIG_KOR_NM</t>
  </si>
  <si>
    <t>x</t>
  </si>
  <si>
    <t>y</t>
  </si>
  <si>
    <t>Chuncheon-si</t>
  </si>
  <si>
    <t>춘천시</t>
  </si>
  <si>
    <t>Wonju-si</t>
  </si>
  <si>
    <t>원주시</t>
  </si>
  <si>
    <t>Gangneung-si</t>
  </si>
  <si>
    <t>강릉시</t>
  </si>
  <si>
    <t>Donghae-si</t>
  </si>
  <si>
    <t>동해시</t>
  </si>
  <si>
    <t>Taebaek-si</t>
  </si>
  <si>
    <t>태백시</t>
  </si>
  <si>
    <t>Sokcho-si</t>
  </si>
  <si>
    <t>속초시</t>
  </si>
  <si>
    <t>Samcheok-si</t>
  </si>
  <si>
    <t>삼척시</t>
  </si>
  <si>
    <t>Hongcheon-gun</t>
  </si>
  <si>
    <t>홍천군</t>
  </si>
  <si>
    <t>Hoengseong-gun</t>
  </si>
  <si>
    <t>횡성군</t>
  </si>
  <si>
    <t>Yeongwol-gun</t>
  </si>
  <si>
    <t>영월군</t>
  </si>
  <si>
    <t>Pyeongchang-gun</t>
  </si>
  <si>
    <t>평창군</t>
  </si>
  <si>
    <t>Jeongseon-gun</t>
  </si>
  <si>
    <t>정선군</t>
  </si>
  <si>
    <t>Cheorwon-gun</t>
  </si>
  <si>
    <t>철원군</t>
  </si>
  <si>
    <t>Hwacheon-gun</t>
  </si>
  <si>
    <t>화천군</t>
  </si>
  <si>
    <t>Yanggu-gun</t>
  </si>
  <si>
    <t>양구군</t>
  </si>
  <si>
    <t>Inje-gun</t>
  </si>
  <si>
    <t>인제군</t>
  </si>
  <si>
    <t>Goseong-gun</t>
  </si>
  <si>
    <t>고성군</t>
  </si>
  <si>
    <t>Yangyang-gun</t>
  </si>
  <si>
    <t>양양군</t>
  </si>
  <si>
    <t>Jangan-gu, Suwon-si</t>
  </si>
  <si>
    <t>Gwonseon-gu, Suwon-si</t>
  </si>
  <si>
    <t>Paldal-gu, Suwon-si</t>
  </si>
  <si>
    <t>Yeongtong-gu, Suwon-si</t>
  </si>
  <si>
    <t>Sujeong-gu, Seongnam-si</t>
  </si>
  <si>
    <t>Jungwon-gu, Seongnam-si</t>
  </si>
  <si>
    <t>Bundang-gu, Seongnam-si</t>
  </si>
  <si>
    <t>Uijeongbu-si</t>
  </si>
  <si>
    <t>Manan-gu, Anyang-si</t>
  </si>
  <si>
    <t>Dongan-gu, Anyang-si</t>
  </si>
  <si>
    <t>Bucheon-si</t>
  </si>
  <si>
    <t>Gwangmyeong-si</t>
  </si>
  <si>
    <t>Pyeongtaek-si</t>
  </si>
  <si>
    <t>Dongducheon-si</t>
  </si>
  <si>
    <t>Sangnok-gu, Ansan-si</t>
  </si>
  <si>
    <t>Danwon-gu, Ansan-si</t>
  </si>
  <si>
    <t>Deogyang-gu, Goyang-si</t>
  </si>
  <si>
    <t>Ilsandong-gu, Goyang-si</t>
  </si>
  <si>
    <t>Ilsanseo-gu, Goyang-si</t>
  </si>
  <si>
    <t>Gwacheon-si</t>
  </si>
  <si>
    <t>과천시</t>
  </si>
  <si>
    <t>Guri-si</t>
  </si>
  <si>
    <t>구리시</t>
  </si>
  <si>
    <t>Namyangju-si</t>
  </si>
  <si>
    <t>남양주시</t>
  </si>
  <si>
    <t>Osan-si</t>
  </si>
  <si>
    <t>오산시</t>
  </si>
  <si>
    <t>Siheung-si</t>
  </si>
  <si>
    <t>시흥시</t>
  </si>
  <si>
    <t>Gunpo-si</t>
  </si>
  <si>
    <t>군포시</t>
  </si>
  <si>
    <t>Uiwang-si</t>
  </si>
  <si>
    <t>의왕시</t>
  </si>
  <si>
    <t>Hanam-si</t>
  </si>
  <si>
    <t>하남시</t>
  </si>
  <si>
    <t>Cheoin-gu, Yongin-si</t>
  </si>
  <si>
    <t>용인시처인구</t>
  </si>
  <si>
    <t>Giheung-gu, Yongin-si</t>
  </si>
  <si>
    <t>용인시기흥구</t>
  </si>
  <si>
    <t>Suji-gu, Yongin-si</t>
  </si>
  <si>
    <t>용인시수지구</t>
  </si>
  <si>
    <t>Paju-si</t>
  </si>
  <si>
    <t>파주시</t>
  </si>
  <si>
    <t>Icheon-si</t>
  </si>
  <si>
    <t>이천시</t>
  </si>
  <si>
    <t>Anseong-si</t>
  </si>
  <si>
    <t>안성시</t>
  </si>
  <si>
    <t>Gimpo-si</t>
  </si>
  <si>
    <t>김포시</t>
  </si>
  <si>
    <t>Hwaseong-si</t>
  </si>
  <si>
    <t>화성시</t>
  </si>
  <si>
    <t>Gwangju-si</t>
  </si>
  <si>
    <t>광주시</t>
  </si>
  <si>
    <t>Yangju-si</t>
  </si>
  <si>
    <t>양주시</t>
  </si>
  <si>
    <t>Pocheon-si</t>
  </si>
  <si>
    <t>포천시</t>
  </si>
  <si>
    <t>Yeoju-si</t>
  </si>
  <si>
    <t>여주시</t>
  </si>
  <si>
    <t>Yeoncheon-gun</t>
  </si>
  <si>
    <t>연천군</t>
  </si>
  <si>
    <t>Gapyeong-gun</t>
  </si>
  <si>
    <t>가평군</t>
  </si>
  <si>
    <t>Yangpyeong-gun</t>
  </si>
  <si>
    <t>양평군</t>
  </si>
  <si>
    <t>Uichang-gu, Changwon-si</t>
  </si>
  <si>
    <t>Seongsan-gu, Changwon-si</t>
  </si>
  <si>
    <t>Masanhappo-gu, Changwon-si</t>
  </si>
  <si>
    <t>Masanhoewon-gu, Changwon-si</t>
  </si>
  <si>
    <t>Jinhae-gu, Changwon-si</t>
  </si>
  <si>
    <t>Jinju-si</t>
  </si>
  <si>
    <t>진주시</t>
  </si>
  <si>
    <t>Tongyeong-si</t>
  </si>
  <si>
    <t>통영시</t>
  </si>
  <si>
    <t>Sacheon-si</t>
  </si>
  <si>
    <t>사천시</t>
  </si>
  <si>
    <t>Gimhae-si</t>
  </si>
  <si>
    <t>김해시</t>
  </si>
  <si>
    <t>Miryang-si</t>
  </si>
  <si>
    <t>밀양시</t>
  </si>
  <si>
    <t>Geoje-si</t>
  </si>
  <si>
    <t>거제시</t>
  </si>
  <si>
    <t>Yangsan-si</t>
  </si>
  <si>
    <t>양산시</t>
  </si>
  <si>
    <t>Uiryeong-gun</t>
  </si>
  <si>
    <t>의령군</t>
  </si>
  <si>
    <t>Haman-gun</t>
  </si>
  <si>
    <t>함안군</t>
  </si>
  <si>
    <t>Changnyeong-gun</t>
  </si>
  <si>
    <t>창녕군</t>
  </si>
  <si>
    <t>Namhae-gun</t>
  </si>
  <si>
    <t>남해군</t>
  </si>
  <si>
    <t>Hadong-gun</t>
  </si>
  <si>
    <t>하동군</t>
  </si>
  <si>
    <t>Sancheong-gun</t>
  </si>
  <si>
    <t>산청군</t>
  </si>
  <si>
    <t>Hamyang-gun</t>
  </si>
  <si>
    <t>함양군</t>
  </si>
  <si>
    <t>Geochang-gun</t>
  </si>
  <si>
    <t>거창군</t>
  </si>
  <si>
    <t>Hapcheon-gun</t>
  </si>
  <si>
    <t>합천군</t>
  </si>
  <si>
    <t>Nam-gu, Pohang-si</t>
  </si>
  <si>
    <t>Buk-gu, Pohang-si</t>
  </si>
  <si>
    <t>Gyeongju-si</t>
  </si>
  <si>
    <t>경주시</t>
  </si>
  <si>
    <t>Gimcheon-si</t>
  </si>
  <si>
    <t>김천시</t>
  </si>
  <si>
    <t>Andong-si</t>
  </si>
  <si>
    <t>안동시</t>
  </si>
  <si>
    <t>Gumi-si</t>
  </si>
  <si>
    <t>구미시</t>
  </si>
  <si>
    <t>Yeongju-si</t>
  </si>
  <si>
    <t>영주시</t>
  </si>
  <si>
    <t>Yeongcheon-si</t>
  </si>
  <si>
    <t>영천시</t>
  </si>
  <si>
    <t>Sangju-si</t>
  </si>
  <si>
    <t>상주시</t>
  </si>
  <si>
    <t>Mungyeong-si</t>
  </si>
  <si>
    <t>문경시</t>
  </si>
  <si>
    <t>Gyeongsan-si</t>
  </si>
  <si>
    <t>경산시</t>
  </si>
  <si>
    <t>Gunwi-gun</t>
  </si>
  <si>
    <t>군위군</t>
  </si>
  <si>
    <t>Uiseong-gun</t>
  </si>
  <si>
    <t>의성군</t>
  </si>
  <si>
    <t>Cheongsong-gun</t>
  </si>
  <si>
    <t>청송군</t>
  </si>
  <si>
    <t>Yeongyang-gun</t>
  </si>
  <si>
    <t>영양군</t>
  </si>
  <si>
    <t>Yeongdeok-gun</t>
  </si>
  <si>
    <t>영덕군</t>
  </si>
  <si>
    <t>Cheongdo-gun</t>
  </si>
  <si>
    <t>청도군</t>
  </si>
  <si>
    <t>Goryeong-gun</t>
  </si>
  <si>
    <t>고령군</t>
  </si>
  <si>
    <t>Seongju-gun</t>
  </si>
  <si>
    <t>성주군</t>
  </si>
  <si>
    <t>Chilgok-gun</t>
  </si>
  <si>
    <t>칠곡군</t>
  </si>
  <si>
    <t>Yecheon-gun</t>
  </si>
  <si>
    <t>예천군</t>
  </si>
  <si>
    <t>Bonghwa-gun</t>
  </si>
  <si>
    <t>봉화군</t>
  </si>
  <si>
    <t>Uljin-gun</t>
  </si>
  <si>
    <t>울진군</t>
  </si>
  <si>
    <t>Ulleung-gun</t>
  </si>
  <si>
    <t>울릉군</t>
  </si>
  <si>
    <t>Dong-gu</t>
  </si>
  <si>
    <t>Seo-gu</t>
  </si>
  <si>
    <t>Nam-gu</t>
  </si>
  <si>
    <t>Buk-gu</t>
  </si>
  <si>
    <t>Gwangsan-gu</t>
  </si>
  <si>
    <t>Jung-gu</t>
  </si>
  <si>
    <t>Suseong-gu</t>
  </si>
  <si>
    <t>Dalseo-gu</t>
  </si>
  <si>
    <t>Dalseong-gun</t>
  </si>
  <si>
    <t>Yuseong-gu</t>
  </si>
  <si>
    <t>Daedeok-gu</t>
  </si>
  <si>
    <t>Yeongdo-gu</t>
  </si>
  <si>
    <t>Busanjin-gu</t>
  </si>
  <si>
    <t>Dongnae-gu</t>
  </si>
  <si>
    <t>Haeundae-gu</t>
  </si>
  <si>
    <t>Saha-gu</t>
  </si>
  <si>
    <t>Geumjeong-gu</t>
  </si>
  <si>
    <t>Gangseo-gu</t>
  </si>
  <si>
    <t>Yeonje-gu</t>
  </si>
  <si>
    <t>Suyeong-gu</t>
  </si>
  <si>
    <t>Sasang-gu</t>
  </si>
  <si>
    <t>Gijang-gun</t>
  </si>
  <si>
    <t>Jongno-gu</t>
  </si>
  <si>
    <t>Yongsan-gu</t>
  </si>
  <si>
    <t>Seongdong-gu</t>
  </si>
  <si>
    <t>Gwangjin-gu</t>
  </si>
  <si>
    <t>Dongdaemun-gu</t>
  </si>
  <si>
    <t>Jungnang-gu</t>
  </si>
  <si>
    <t>Seongbuk-gu</t>
  </si>
  <si>
    <t>Gangbuk-gu</t>
  </si>
  <si>
    <t>Dobong-gu</t>
  </si>
  <si>
    <t>Nowon-gu</t>
  </si>
  <si>
    <t>Eunpyeong-gu</t>
  </si>
  <si>
    <t>Seodaemun-gu</t>
  </si>
  <si>
    <t>Mapo-gu</t>
  </si>
  <si>
    <t>Yangcheon-gu</t>
  </si>
  <si>
    <t>Guro-gu</t>
  </si>
  <si>
    <t>Geumcheon-gu</t>
  </si>
  <si>
    <t>Yeongdeungpo-gu</t>
  </si>
  <si>
    <t>Dongjak-gu</t>
  </si>
  <si>
    <t>Gwanak-gu</t>
  </si>
  <si>
    <t>Seocho-gu</t>
  </si>
  <si>
    <t>Gangnam-gu</t>
  </si>
  <si>
    <t>Songpa-gu</t>
  </si>
  <si>
    <t>Gangdong-gu</t>
  </si>
  <si>
    <t>Sejong-si</t>
  </si>
  <si>
    <t>세종특별자치시</t>
  </si>
  <si>
    <t>Ulju-gun</t>
  </si>
  <si>
    <t>Michuhol-gu</t>
  </si>
  <si>
    <t>Yeonsu-gu</t>
  </si>
  <si>
    <t>Namdong-gu</t>
  </si>
  <si>
    <t>Bupyeong-gu</t>
  </si>
  <si>
    <t>Gyeyang-gu</t>
  </si>
  <si>
    <t>Ganghwa-gun</t>
  </si>
  <si>
    <t>Ongjin-gun</t>
  </si>
  <si>
    <t>Mokpo-si</t>
  </si>
  <si>
    <t>목포시</t>
  </si>
  <si>
    <t>Yeosu-si</t>
  </si>
  <si>
    <t>여수시</t>
  </si>
  <si>
    <t>Suncheon-si</t>
  </si>
  <si>
    <t>순천시</t>
  </si>
  <si>
    <t>Naju-si</t>
  </si>
  <si>
    <t>나주시</t>
  </si>
  <si>
    <t>Gwangyang-si</t>
  </si>
  <si>
    <t>광양시</t>
  </si>
  <si>
    <t>Damyang-gun</t>
  </si>
  <si>
    <t>담양군</t>
  </si>
  <si>
    <t>Gokseong-gun</t>
  </si>
  <si>
    <t>곡성군</t>
  </si>
  <si>
    <t>Gurye-gun</t>
  </si>
  <si>
    <t>구례군</t>
  </si>
  <si>
    <t>Goheung-gun</t>
  </si>
  <si>
    <t>고흥군</t>
  </si>
  <si>
    <t>Boseong-gun</t>
  </si>
  <si>
    <t>보성군</t>
  </si>
  <si>
    <t>Hwasun-gun</t>
  </si>
  <si>
    <t>화순군</t>
  </si>
  <si>
    <t>Jangheung-gun</t>
  </si>
  <si>
    <t>장흥군</t>
  </si>
  <si>
    <t>Gangjin-gun</t>
  </si>
  <si>
    <t>강진군</t>
  </si>
  <si>
    <t>Haenam-gun</t>
  </si>
  <si>
    <t>해남군</t>
  </si>
  <si>
    <t>Yeongam-gun</t>
  </si>
  <si>
    <t>영암군</t>
  </si>
  <si>
    <t>Muan-gun</t>
  </si>
  <si>
    <t>무안군</t>
  </si>
  <si>
    <t>Hampyeong-gun</t>
  </si>
  <si>
    <t>함평군</t>
  </si>
  <si>
    <t>Yeonggwang-gun</t>
  </si>
  <si>
    <t>영광군</t>
  </si>
  <si>
    <t>Jangseong-gun</t>
  </si>
  <si>
    <t>장성군</t>
  </si>
  <si>
    <t>Wando-gun</t>
  </si>
  <si>
    <t>완도군</t>
  </si>
  <si>
    <t>Jindo-gun</t>
  </si>
  <si>
    <t>진도군</t>
  </si>
  <si>
    <t>Sinan-gun</t>
  </si>
  <si>
    <t>신안군</t>
  </si>
  <si>
    <t>Wansan-gu, Jeonju-si</t>
  </si>
  <si>
    <t>전주시완산구</t>
  </si>
  <si>
    <t>Deokjin-gu, Jeonju-si</t>
  </si>
  <si>
    <t>전주시덕진구</t>
  </si>
  <si>
    <t>Gunsan-si</t>
  </si>
  <si>
    <t>군산시</t>
  </si>
  <si>
    <t>Iksan-si</t>
  </si>
  <si>
    <t>익산시</t>
  </si>
  <si>
    <t>Jeongeup-si</t>
  </si>
  <si>
    <t>정읍시</t>
  </si>
  <si>
    <t>Namwon-si</t>
  </si>
  <si>
    <t>남원시</t>
  </si>
  <si>
    <t>Gimje-si</t>
  </si>
  <si>
    <t>김제시</t>
  </si>
  <si>
    <t>Wanju-gun</t>
  </si>
  <si>
    <t>완주군</t>
  </si>
  <si>
    <t>Jinan-gun</t>
  </si>
  <si>
    <t>진안군</t>
  </si>
  <si>
    <t>Muju-gun</t>
  </si>
  <si>
    <t>무주군</t>
  </si>
  <si>
    <t>Jangsu-gun</t>
  </si>
  <si>
    <t>장수군</t>
  </si>
  <si>
    <t>Imsil-gun</t>
  </si>
  <si>
    <t>임실군</t>
  </si>
  <si>
    <t>Sunchang-gun</t>
  </si>
  <si>
    <t>순창군</t>
  </si>
  <si>
    <t>Gochang-gun</t>
  </si>
  <si>
    <t>고창군</t>
  </si>
  <si>
    <t>Buan-gun</t>
  </si>
  <si>
    <t>부안군</t>
  </si>
  <si>
    <t>Jeju-si</t>
  </si>
  <si>
    <t>제주시</t>
  </si>
  <si>
    <t>Seogwipo-si</t>
  </si>
  <si>
    <t>서귀포시</t>
  </si>
  <si>
    <t>Dongnam-gu, Cheonan-si</t>
  </si>
  <si>
    <t>천안시동남구</t>
  </si>
  <si>
    <t>Seobuk-gu, Cheonan-si</t>
  </si>
  <si>
    <t>천안시서북구</t>
  </si>
  <si>
    <t>Gongju-si</t>
  </si>
  <si>
    <t>공주시</t>
  </si>
  <si>
    <t>Boryeong-si</t>
  </si>
  <si>
    <t>보령시</t>
  </si>
  <si>
    <t>Asan-si</t>
  </si>
  <si>
    <t>아산시</t>
  </si>
  <si>
    <t>Seosan-si</t>
  </si>
  <si>
    <t>서산시</t>
  </si>
  <si>
    <t>Nonsan-si</t>
  </si>
  <si>
    <t>논산시</t>
  </si>
  <si>
    <t>Gyeryong-si</t>
  </si>
  <si>
    <t>계룡시</t>
  </si>
  <si>
    <t>Dangjin-si</t>
  </si>
  <si>
    <t>당진시</t>
  </si>
  <si>
    <t>Geumsan-gun</t>
  </si>
  <si>
    <t>금산군</t>
  </si>
  <si>
    <t>Buyeo-gun</t>
  </si>
  <si>
    <t>부여군</t>
  </si>
  <si>
    <t>Seocheon-gun</t>
  </si>
  <si>
    <t>서천군</t>
  </si>
  <si>
    <t>Cheongyang-gun</t>
  </si>
  <si>
    <t>청양군</t>
  </si>
  <si>
    <t>Hongseong-gun</t>
  </si>
  <si>
    <t>홍성군</t>
  </si>
  <si>
    <t>Yesan-gun</t>
  </si>
  <si>
    <t>예산군</t>
  </si>
  <si>
    <t>Taean-gun</t>
  </si>
  <si>
    <t>태안군</t>
  </si>
  <si>
    <t>Sangdang-gu, Cheongju-si</t>
  </si>
  <si>
    <t>Seowon-gu, Cheongju-si</t>
  </si>
  <si>
    <t>Heungdeok-gu, Cheongju-si</t>
  </si>
  <si>
    <t>Cheongwon-gu, Cheongju-si</t>
  </si>
  <si>
    <t>Chungju-si</t>
  </si>
  <si>
    <t>충주시</t>
  </si>
  <si>
    <t>Jecheon-si</t>
  </si>
  <si>
    <t>제천시</t>
  </si>
  <si>
    <t>Boeun-gun</t>
  </si>
  <si>
    <t>보은군</t>
  </si>
  <si>
    <t>Okcheon-gun</t>
  </si>
  <si>
    <t>옥천군</t>
  </si>
  <si>
    <t>Yeongdong-gun</t>
  </si>
  <si>
    <t>영동군</t>
  </si>
  <si>
    <t>Jeungpyeong-gun</t>
  </si>
  <si>
    <t>증평군</t>
  </si>
  <si>
    <t>Jincheon-gun</t>
  </si>
  <si>
    <t>진천군</t>
  </si>
  <si>
    <t>Goesan-gun</t>
  </si>
  <si>
    <t>괴산군</t>
  </si>
  <si>
    <t>Eumseong-gun</t>
  </si>
  <si>
    <t>음성군</t>
  </si>
  <si>
    <t>Danyang-gun</t>
  </si>
  <si>
    <t>단양군</t>
  </si>
  <si>
    <t>청주시상당구</t>
    <phoneticPr fontId="1" type="noConversion"/>
  </si>
  <si>
    <t>청주시서원구</t>
    <phoneticPr fontId="1" type="noConversion"/>
  </si>
  <si>
    <t>청주시흥덕구</t>
    <phoneticPr fontId="1" type="noConversion"/>
  </si>
  <si>
    <t>청주시청원구</t>
    <phoneticPr fontId="1" type="noConversion"/>
  </si>
  <si>
    <t>포항시남구</t>
    <phoneticPr fontId="1" type="noConversion"/>
  </si>
  <si>
    <t>포항시북구</t>
    <phoneticPr fontId="1" type="noConversion"/>
  </si>
  <si>
    <t>창원시의창구</t>
    <phoneticPr fontId="1" type="noConversion"/>
  </si>
  <si>
    <t>창원시성산구</t>
    <phoneticPr fontId="1" type="noConversion"/>
  </si>
  <si>
    <t>창원시마산합포구</t>
    <phoneticPr fontId="1" type="noConversion"/>
  </si>
  <si>
    <t>창원시마산회원구</t>
    <phoneticPr fontId="1" type="noConversion"/>
  </si>
  <si>
    <t>창원시진해구</t>
    <phoneticPr fontId="1" type="noConversion"/>
  </si>
  <si>
    <t>서울특별시 종로구</t>
    <phoneticPr fontId="1" type="noConversion"/>
  </si>
  <si>
    <t>서울특별시 중구</t>
    <phoneticPr fontId="1" type="noConversion"/>
  </si>
  <si>
    <t>서울특별시 용산구</t>
    <phoneticPr fontId="1" type="noConversion"/>
  </si>
  <si>
    <t>서울특별시 성동구</t>
    <phoneticPr fontId="1" type="noConversion"/>
  </si>
  <si>
    <t>서울특별시 광진구</t>
    <phoneticPr fontId="1" type="noConversion"/>
  </si>
  <si>
    <r>
      <t>서울특별시</t>
    </r>
    <r>
      <rPr>
        <b/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동대문구</t>
    </r>
    <phoneticPr fontId="1" type="noConversion"/>
  </si>
  <si>
    <t>서울특별시 중랑구</t>
    <phoneticPr fontId="1" type="noConversion"/>
  </si>
  <si>
    <t>서울특별시 성북구</t>
    <phoneticPr fontId="1" type="noConversion"/>
  </si>
  <si>
    <t>서울특별시 강북구</t>
    <phoneticPr fontId="1" type="noConversion"/>
  </si>
  <si>
    <t>서울특별시 도봉구</t>
    <phoneticPr fontId="1" type="noConversion"/>
  </si>
  <si>
    <t>서울특별시 노원구</t>
    <phoneticPr fontId="1" type="noConversion"/>
  </si>
  <si>
    <t>서울특별시 은평구</t>
    <phoneticPr fontId="1" type="noConversion"/>
  </si>
  <si>
    <t>서울특별시 서대문구</t>
    <phoneticPr fontId="1" type="noConversion"/>
  </si>
  <si>
    <t>서울특별시 마포구</t>
    <phoneticPr fontId="1" type="noConversion"/>
  </si>
  <si>
    <t>서울특별시 양천구</t>
    <phoneticPr fontId="1" type="noConversion"/>
  </si>
  <si>
    <t>서울특별시 강서구</t>
    <phoneticPr fontId="1" type="noConversion"/>
  </si>
  <si>
    <t>서울특별시 구로구</t>
    <phoneticPr fontId="1" type="noConversion"/>
  </si>
  <si>
    <t>서울특별시 금천구</t>
    <phoneticPr fontId="1" type="noConversion"/>
  </si>
  <si>
    <t>서울특별시 영등포구</t>
    <phoneticPr fontId="1" type="noConversion"/>
  </si>
  <si>
    <t>서울특별시 동작구</t>
    <phoneticPr fontId="1" type="noConversion"/>
  </si>
  <si>
    <t>서울특별시 관악구</t>
    <phoneticPr fontId="1" type="noConversion"/>
  </si>
  <si>
    <t>서울특별시 서초구</t>
    <phoneticPr fontId="1" type="noConversion"/>
  </si>
  <si>
    <t>서울특별시 강남구</t>
    <phoneticPr fontId="1" type="noConversion"/>
  </si>
  <si>
    <t>서울특별시 송파구</t>
    <phoneticPr fontId="1" type="noConversion"/>
  </si>
  <si>
    <t>서울특별시 강동구</t>
    <phoneticPr fontId="1" type="noConversion"/>
  </si>
  <si>
    <t>부산광역시 중구</t>
    <phoneticPr fontId="1" type="noConversion"/>
  </si>
  <si>
    <t>부산광역시 서구</t>
    <phoneticPr fontId="1" type="noConversion"/>
  </si>
  <si>
    <t>부산광역시 동구</t>
    <phoneticPr fontId="1" type="noConversion"/>
  </si>
  <si>
    <t>부산광역시 영도구</t>
    <phoneticPr fontId="1" type="noConversion"/>
  </si>
  <si>
    <t>부산광역시 부산진구</t>
    <phoneticPr fontId="1" type="noConversion"/>
  </si>
  <si>
    <t>부산광역시 동래구</t>
    <phoneticPr fontId="1" type="noConversion"/>
  </si>
  <si>
    <t>부산광역시 남구</t>
    <phoneticPr fontId="1" type="noConversion"/>
  </si>
  <si>
    <t>부산광역시 북구</t>
    <phoneticPr fontId="1" type="noConversion"/>
  </si>
  <si>
    <t>부산광역시 해운대구</t>
    <phoneticPr fontId="1" type="noConversion"/>
  </si>
  <si>
    <t>부산광역시 사하구</t>
    <phoneticPr fontId="1" type="noConversion"/>
  </si>
  <si>
    <t>부산광역시 금정구</t>
    <phoneticPr fontId="1" type="noConversion"/>
  </si>
  <si>
    <t>부산광역시 강서구</t>
    <phoneticPr fontId="1" type="noConversion"/>
  </si>
  <si>
    <t>부산광역시 연제구</t>
    <phoneticPr fontId="1" type="noConversion"/>
  </si>
  <si>
    <t>부산광역시 수영구</t>
    <phoneticPr fontId="1" type="noConversion"/>
  </si>
  <si>
    <t>부산광역시 사상구</t>
    <phoneticPr fontId="1" type="noConversion"/>
  </si>
  <si>
    <t>부산광역시 기장군</t>
    <phoneticPr fontId="1" type="noConversion"/>
  </si>
  <si>
    <t>대구광역시 중구</t>
    <phoneticPr fontId="1" type="noConversion"/>
  </si>
  <si>
    <t>대구광역시 동구</t>
    <phoneticPr fontId="1" type="noConversion"/>
  </si>
  <si>
    <t>대구광역시 서구</t>
    <phoneticPr fontId="1" type="noConversion"/>
  </si>
  <si>
    <t>대구광역시 남구</t>
    <phoneticPr fontId="1" type="noConversion"/>
  </si>
  <si>
    <t>대구광역시 북구</t>
    <phoneticPr fontId="1" type="noConversion"/>
  </si>
  <si>
    <t>대구광역시 수성구</t>
    <phoneticPr fontId="1" type="noConversion"/>
  </si>
  <si>
    <t>대구광역시 달성군</t>
    <phoneticPr fontId="1" type="noConversion"/>
  </si>
  <si>
    <t>대구광역시 달서구</t>
    <phoneticPr fontId="1" type="noConversion"/>
  </si>
  <si>
    <t>인천광역시 중구</t>
    <phoneticPr fontId="1" type="noConversion"/>
  </si>
  <si>
    <t>인천광역시 동구</t>
    <phoneticPr fontId="1" type="noConversion"/>
  </si>
  <si>
    <t>인천광역시 미추홀구</t>
    <phoneticPr fontId="1" type="noConversion"/>
  </si>
  <si>
    <t>인천광역시 연수구</t>
    <phoneticPr fontId="1" type="noConversion"/>
  </si>
  <si>
    <t>인천광역시 남동구</t>
    <phoneticPr fontId="1" type="noConversion"/>
  </si>
  <si>
    <t>인천광역시 부평구</t>
    <phoneticPr fontId="1" type="noConversion"/>
  </si>
  <si>
    <t>인천광역시 계양구</t>
    <phoneticPr fontId="1" type="noConversion"/>
  </si>
  <si>
    <t>인천광역시 서구</t>
    <phoneticPr fontId="1" type="noConversion"/>
  </si>
  <si>
    <t>인천광역시 강화군</t>
    <phoneticPr fontId="1" type="noConversion"/>
  </si>
  <si>
    <t>인천광역시 옹진군</t>
    <phoneticPr fontId="1" type="noConversion"/>
  </si>
  <si>
    <t>광주광역시 동구</t>
    <phoneticPr fontId="1" type="noConversion"/>
  </si>
  <si>
    <t>광주광역시 서구</t>
    <phoneticPr fontId="1" type="noConversion"/>
  </si>
  <si>
    <t>광주광역시 남구</t>
    <phoneticPr fontId="1" type="noConversion"/>
  </si>
  <si>
    <t>광주광역시 북구</t>
    <phoneticPr fontId="1" type="noConversion"/>
  </si>
  <si>
    <t>광주광역시 광산구</t>
    <phoneticPr fontId="1" type="noConversion"/>
  </si>
  <si>
    <t>울산광역시 중구</t>
    <phoneticPr fontId="1" type="noConversion"/>
  </si>
  <si>
    <t>울산광역시 남구</t>
    <phoneticPr fontId="1" type="noConversion"/>
  </si>
  <si>
    <t>울산광역시 동구</t>
    <phoneticPr fontId="1" type="noConversion"/>
  </si>
  <si>
    <t>울산광역시 북구</t>
    <phoneticPr fontId="1" type="noConversion"/>
  </si>
  <si>
    <t>울산광역시 울주군</t>
    <phoneticPr fontId="1" type="noConversion"/>
  </si>
  <si>
    <t>대전광역시 동구</t>
    <phoneticPr fontId="1" type="noConversion"/>
  </si>
  <si>
    <t>대전광역시 중구</t>
    <phoneticPr fontId="1" type="noConversion"/>
  </si>
  <si>
    <t>대전광역시 유성구</t>
    <phoneticPr fontId="1" type="noConversion"/>
  </si>
  <si>
    <t>대전광역시 서구</t>
    <phoneticPr fontId="1" type="noConversion"/>
  </si>
  <si>
    <t>대전광역시 대덕구</t>
    <phoneticPr fontId="1" type="noConversion"/>
  </si>
  <si>
    <t>경기도 수원시</t>
    <phoneticPr fontId="1" type="noConversion"/>
  </si>
  <si>
    <t>경기도 성남시</t>
    <phoneticPr fontId="1" type="noConversion"/>
  </si>
  <si>
    <t>경기도 의정부시</t>
    <phoneticPr fontId="1" type="noConversion"/>
  </si>
  <si>
    <t>경기도 안양시</t>
    <phoneticPr fontId="1" type="noConversion"/>
  </si>
  <si>
    <t>경기도 부천시</t>
    <phoneticPr fontId="1" type="noConversion"/>
  </si>
  <si>
    <t>경기도 광명시</t>
    <phoneticPr fontId="1" type="noConversion"/>
  </si>
  <si>
    <t>경기도 평택시</t>
    <phoneticPr fontId="1" type="noConversion"/>
  </si>
  <si>
    <t>경기도 동두천시</t>
    <phoneticPr fontId="1" type="noConversion"/>
  </si>
  <si>
    <t>경기도 안산시</t>
    <phoneticPr fontId="1" type="noConversion"/>
  </si>
  <si>
    <t>경기도 고양시</t>
    <phoneticPr fontId="1" type="noConversion"/>
  </si>
  <si>
    <t>column</t>
    <phoneticPr fontId="1" type="noConversion"/>
  </si>
  <si>
    <t>경기도 용인시</t>
    <phoneticPr fontId="1" type="noConversion"/>
  </si>
  <si>
    <t>충청북도 청주시</t>
    <phoneticPr fontId="1" type="noConversion"/>
  </si>
  <si>
    <t>충청남도 천안시</t>
    <phoneticPr fontId="1" type="noConversion"/>
  </si>
  <si>
    <t>전라북도 전주시</t>
    <phoneticPr fontId="1" type="noConversion"/>
  </si>
  <si>
    <t>경상북도 포항시</t>
    <phoneticPr fontId="1" type="noConversion"/>
  </si>
  <si>
    <t>제주특별자치도 제주시</t>
    <phoneticPr fontId="1" type="noConversion"/>
  </si>
  <si>
    <t>제주특별자치도 서귀포시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</si>
</sst>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C76F0-EA96-4851-8AEF-F0A7A2BEEC43}">
  <dimension ref="A1:J251"/>
  <sheetViews>
    <sheetView tabSelected="1" topLeftCell="A185" workbookViewId="0">
      <selection activeCell="F1" sqref="F1:F1048576"/>
    </sheetView>
  </sheetViews>
  <sheetFormatPr defaultRowHeight="17.399999999999999" x14ac:dyDescent="0.4"/>
  <cols>
    <col min="1" max="1" width="7.69921875" style="3" bestFit="1" customWidth="1"/>
    <col min="2" max="2" width="28.8984375" customWidth="1"/>
    <col min="3" max="3" width="17.8984375" customWidth="1"/>
    <col min="4" max="5" width="12.09765625" bestFit="1" customWidth="1"/>
    <col min="6" max="6" width="17.8984375" customWidth="1"/>
  </cols>
  <sheetData>
    <row r="1" spans="1:6" x14ac:dyDescent="0.4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473</v>
      </c>
    </row>
    <row r="2" spans="1:6" x14ac:dyDescent="0.4">
      <c r="A2" s="2">
        <v>11110</v>
      </c>
      <c r="B2" s="1" t="s">
        <v>211</v>
      </c>
      <c r="C2" s="1" t="s">
        <v>389</v>
      </c>
      <c r="D2" s="1">
        <v>126.977321294872</v>
      </c>
      <c r="E2" s="1">
        <v>37.594917319314497</v>
      </c>
      <c r="F2" s="1" t="s">
        <v>389</v>
      </c>
    </row>
    <row r="3" spans="1:6" x14ac:dyDescent="0.4">
      <c r="A3" s="2">
        <v>11140</v>
      </c>
      <c r="B3" s="1" t="s">
        <v>194</v>
      </c>
      <c r="C3" s="1" t="s">
        <v>390</v>
      </c>
      <c r="D3" s="1">
        <v>126.995968139707</v>
      </c>
      <c r="E3" s="1">
        <v>37.560143564551197</v>
      </c>
      <c r="F3" s="1" t="s">
        <v>390</v>
      </c>
    </row>
    <row r="4" spans="1:6" x14ac:dyDescent="0.4">
      <c r="A4" s="2">
        <v>11170</v>
      </c>
      <c r="B4" s="1" t="s">
        <v>212</v>
      </c>
      <c r="C4" s="1" t="s">
        <v>391</v>
      </c>
      <c r="D4" s="1">
        <v>126.979906988235</v>
      </c>
      <c r="E4" s="1">
        <v>37.5313849658815</v>
      </c>
      <c r="F4" s="1" t="s">
        <v>391</v>
      </c>
    </row>
    <row r="5" spans="1:6" x14ac:dyDescent="0.4">
      <c r="A5" s="2">
        <v>11200</v>
      </c>
      <c r="B5" s="1" t="s">
        <v>213</v>
      </c>
      <c r="C5" s="1" t="s">
        <v>392</v>
      </c>
      <c r="D5" s="1">
        <v>127.04105853332101</v>
      </c>
      <c r="E5" s="1">
        <v>37.551029689134403</v>
      </c>
      <c r="F5" s="1" t="s">
        <v>392</v>
      </c>
    </row>
    <row r="6" spans="1:6" x14ac:dyDescent="0.4">
      <c r="A6" s="2">
        <v>11215</v>
      </c>
      <c r="B6" s="1" t="s">
        <v>214</v>
      </c>
      <c r="C6" s="1" t="s">
        <v>393</v>
      </c>
      <c r="D6" s="1">
        <v>127.085744097681</v>
      </c>
      <c r="E6" s="1">
        <v>37.546720237931403</v>
      </c>
      <c r="F6" s="1" t="s">
        <v>393</v>
      </c>
    </row>
    <row r="7" spans="1:6" ht="16.2" customHeight="1" x14ac:dyDescent="0.4">
      <c r="A7" s="2">
        <v>11230</v>
      </c>
      <c r="B7" s="1" t="s">
        <v>215</v>
      </c>
      <c r="C7" s="4" t="s">
        <v>394</v>
      </c>
      <c r="D7" s="1">
        <v>127.05484812780701</v>
      </c>
      <c r="E7" s="1">
        <v>37.581956547893</v>
      </c>
      <c r="F7" s="4" t="s">
        <v>394</v>
      </c>
    </row>
    <row r="8" spans="1:6" x14ac:dyDescent="0.4">
      <c r="A8" s="2">
        <v>11260</v>
      </c>
      <c r="B8" s="1" t="s">
        <v>216</v>
      </c>
      <c r="C8" s="1" t="s">
        <v>395</v>
      </c>
      <c r="D8" s="1">
        <v>127.092883176298</v>
      </c>
      <c r="E8" s="1">
        <v>37.597817379924898</v>
      </c>
      <c r="F8" s="1" t="s">
        <v>395</v>
      </c>
    </row>
    <row r="9" spans="1:6" x14ac:dyDescent="0.4">
      <c r="A9" s="2">
        <v>11290</v>
      </c>
      <c r="B9" s="1" t="s">
        <v>217</v>
      </c>
      <c r="C9" s="1" t="s">
        <v>396</v>
      </c>
      <c r="D9" s="1">
        <v>127.01757949116799</v>
      </c>
      <c r="E9" s="1">
        <v>37.605701902396802</v>
      </c>
      <c r="F9" s="1" t="s">
        <v>396</v>
      </c>
    </row>
    <row r="10" spans="1:6" x14ac:dyDescent="0.4">
      <c r="A10" s="2">
        <v>11305</v>
      </c>
      <c r="B10" s="1" t="s">
        <v>218</v>
      </c>
      <c r="C10" s="1" t="s">
        <v>397</v>
      </c>
      <c r="D10" s="1">
        <v>127.01118897523899</v>
      </c>
      <c r="E10" s="1">
        <v>37.643473913558601</v>
      </c>
      <c r="F10" s="1" t="s">
        <v>397</v>
      </c>
    </row>
    <row r="11" spans="1:6" x14ac:dyDescent="0.4">
      <c r="A11" s="2">
        <v>11320</v>
      </c>
      <c r="B11" s="1" t="s">
        <v>219</v>
      </c>
      <c r="C11" s="1" t="s">
        <v>398</v>
      </c>
      <c r="D11" s="1">
        <v>127.032368819558</v>
      </c>
      <c r="E11" s="1">
        <v>37.669102080288397</v>
      </c>
      <c r="F11" s="1" t="s">
        <v>398</v>
      </c>
    </row>
    <row r="12" spans="1:6" x14ac:dyDescent="0.4">
      <c r="A12" s="2">
        <v>11350</v>
      </c>
      <c r="B12" s="1" t="s">
        <v>220</v>
      </c>
      <c r="C12" s="1" t="s">
        <v>399</v>
      </c>
      <c r="D12" s="1">
        <v>127.075034689337</v>
      </c>
      <c r="E12" s="1">
        <v>37.652511047989996</v>
      </c>
      <c r="F12" s="1" t="s">
        <v>399</v>
      </c>
    </row>
    <row r="13" spans="1:6" x14ac:dyDescent="0.4">
      <c r="A13" s="2">
        <v>11380</v>
      </c>
      <c r="B13" s="1" t="s">
        <v>221</v>
      </c>
      <c r="C13" s="1" t="s">
        <v>400</v>
      </c>
      <c r="D13" s="1">
        <v>126.92702287719899</v>
      </c>
      <c r="E13" s="1">
        <v>37.619211282574803</v>
      </c>
      <c r="F13" s="1" t="s">
        <v>400</v>
      </c>
    </row>
    <row r="14" spans="1:6" x14ac:dyDescent="0.4">
      <c r="A14" s="2">
        <v>11410</v>
      </c>
      <c r="B14" s="1" t="s">
        <v>222</v>
      </c>
      <c r="C14" s="1" t="s">
        <v>401</v>
      </c>
      <c r="D14" s="1">
        <v>126.939063095715</v>
      </c>
      <c r="E14" s="1">
        <v>37.577785309169897</v>
      </c>
      <c r="F14" s="1" t="s">
        <v>401</v>
      </c>
    </row>
    <row r="15" spans="1:6" x14ac:dyDescent="0.4">
      <c r="A15" s="2">
        <v>11440</v>
      </c>
      <c r="B15" s="1" t="s">
        <v>223</v>
      </c>
      <c r="C15" s="1" t="s">
        <v>402</v>
      </c>
      <c r="D15" s="1">
        <v>126.90827002744901</v>
      </c>
      <c r="E15" s="1">
        <v>37.559313492553997</v>
      </c>
      <c r="F15" s="1" t="s">
        <v>402</v>
      </c>
    </row>
    <row r="16" spans="1:6" x14ac:dyDescent="0.4">
      <c r="A16" s="2">
        <v>11470</v>
      </c>
      <c r="B16" s="1" t="s">
        <v>224</v>
      </c>
      <c r="C16" s="1" t="s">
        <v>403</v>
      </c>
      <c r="D16" s="1">
        <v>126.855477660234</v>
      </c>
      <c r="E16" s="1">
        <v>37.5247894102082</v>
      </c>
      <c r="F16" s="1" t="s">
        <v>403</v>
      </c>
    </row>
    <row r="17" spans="1:6" x14ac:dyDescent="0.4">
      <c r="A17" s="2">
        <v>11500</v>
      </c>
      <c r="B17" s="1" t="s">
        <v>206</v>
      </c>
      <c r="C17" s="1" t="s">
        <v>404</v>
      </c>
      <c r="D17" s="1">
        <v>126.822806689705</v>
      </c>
      <c r="E17" s="1">
        <v>37.561235428012203</v>
      </c>
      <c r="F17" s="1" t="s">
        <v>404</v>
      </c>
    </row>
    <row r="18" spans="1:6" x14ac:dyDescent="0.4">
      <c r="A18" s="2">
        <v>11530</v>
      </c>
      <c r="B18" s="1" t="s">
        <v>225</v>
      </c>
      <c r="C18" s="1" t="s">
        <v>405</v>
      </c>
      <c r="D18" s="1">
        <v>126.856300578972</v>
      </c>
      <c r="E18" s="1">
        <v>37.494405428561798</v>
      </c>
      <c r="F18" s="1" t="s">
        <v>405</v>
      </c>
    </row>
    <row r="19" spans="1:6" x14ac:dyDescent="0.4">
      <c r="A19" s="2">
        <v>11545</v>
      </c>
      <c r="B19" s="1" t="s">
        <v>226</v>
      </c>
      <c r="C19" s="1" t="s">
        <v>406</v>
      </c>
      <c r="D19" s="1">
        <v>126.900820244409</v>
      </c>
      <c r="E19" s="1">
        <v>37.460567564931701</v>
      </c>
      <c r="F19" s="1" t="s">
        <v>406</v>
      </c>
    </row>
    <row r="20" spans="1:6" x14ac:dyDescent="0.4">
      <c r="A20" s="2">
        <v>11560</v>
      </c>
      <c r="B20" s="1" t="s">
        <v>227</v>
      </c>
      <c r="C20" s="1" t="s">
        <v>407</v>
      </c>
      <c r="D20" s="1">
        <v>126.91016946737599</v>
      </c>
      <c r="E20" s="1">
        <v>37.522308288575303</v>
      </c>
      <c r="F20" s="1" t="s">
        <v>407</v>
      </c>
    </row>
    <row r="21" spans="1:6" x14ac:dyDescent="0.4">
      <c r="A21" s="2">
        <v>11590</v>
      </c>
      <c r="B21" s="1" t="s">
        <v>228</v>
      </c>
      <c r="C21" s="1" t="s">
        <v>408</v>
      </c>
      <c r="D21" s="1">
        <v>126.95164145438299</v>
      </c>
      <c r="E21" s="1">
        <v>37.498876876071797</v>
      </c>
      <c r="F21" s="1" t="s">
        <v>408</v>
      </c>
    </row>
    <row r="22" spans="1:6" x14ac:dyDescent="0.4">
      <c r="A22" s="2">
        <v>11620</v>
      </c>
      <c r="B22" s="1" t="s">
        <v>229</v>
      </c>
      <c r="C22" s="1" t="s">
        <v>409</v>
      </c>
      <c r="D22" s="1">
        <v>126.94533715305</v>
      </c>
      <c r="E22" s="1">
        <v>37.4673756905879</v>
      </c>
      <c r="F22" s="1" t="s">
        <v>409</v>
      </c>
    </row>
    <row r="23" spans="1:6" x14ac:dyDescent="0.4">
      <c r="A23" s="2">
        <v>11650</v>
      </c>
      <c r="B23" s="1" t="s">
        <v>230</v>
      </c>
      <c r="C23" s="1" t="s">
        <v>410</v>
      </c>
      <c r="D23" s="1">
        <v>127.031220311114</v>
      </c>
      <c r="E23" s="1">
        <v>37.473295467345899</v>
      </c>
      <c r="F23" s="1" t="s">
        <v>410</v>
      </c>
    </row>
    <row r="24" spans="1:6" x14ac:dyDescent="0.4">
      <c r="A24" s="2">
        <v>11680</v>
      </c>
      <c r="B24" s="1" t="s">
        <v>231</v>
      </c>
      <c r="C24" s="1" t="s">
        <v>411</v>
      </c>
      <c r="D24" s="1">
        <v>127.062985204247</v>
      </c>
      <c r="E24" s="1">
        <v>37.496643894287701</v>
      </c>
      <c r="F24" s="1" t="s">
        <v>411</v>
      </c>
    </row>
    <row r="25" spans="1:6" x14ac:dyDescent="0.4">
      <c r="A25" s="2">
        <v>11710</v>
      </c>
      <c r="B25" s="1" t="s">
        <v>232</v>
      </c>
      <c r="C25" s="1" t="s">
        <v>412</v>
      </c>
      <c r="D25" s="1">
        <v>127.11529503972299</v>
      </c>
      <c r="E25" s="1">
        <v>37.505619241544402</v>
      </c>
      <c r="F25" s="1" t="s">
        <v>412</v>
      </c>
    </row>
    <row r="26" spans="1:6" x14ac:dyDescent="0.4">
      <c r="A26" s="2">
        <v>11740</v>
      </c>
      <c r="B26" s="1" t="s">
        <v>233</v>
      </c>
      <c r="C26" s="1" t="s">
        <v>413</v>
      </c>
      <c r="D26" s="1">
        <v>127.14701184176501</v>
      </c>
      <c r="E26" s="1">
        <v>37.5504502432305</v>
      </c>
      <c r="F26" s="1" t="s">
        <v>413</v>
      </c>
    </row>
    <row r="27" spans="1:6" x14ac:dyDescent="0.4">
      <c r="A27" s="2">
        <v>26110</v>
      </c>
      <c r="B27" s="1" t="s">
        <v>194</v>
      </c>
      <c r="C27" s="1" t="s">
        <v>414</v>
      </c>
      <c r="D27" s="1">
        <v>129.031540159228</v>
      </c>
      <c r="E27" s="1">
        <v>35.1054777649762</v>
      </c>
      <c r="F27" s="1" t="s">
        <v>414</v>
      </c>
    </row>
    <row r="28" spans="1:6" x14ac:dyDescent="0.4">
      <c r="A28" s="2">
        <v>26140</v>
      </c>
      <c r="B28" s="1" t="s">
        <v>190</v>
      </c>
      <c r="C28" s="1" t="s">
        <v>415</v>
      </c>
      <c r="D28" s="1">
        <v>129.014913262627</v>
      </c>
      <c r="E28" s="1">
        <v>35.102957859718103</v>
      </c>
      <c r="F28" s="1" t="s">
        <v>415</v>
      </c>
    </row>
    <row r="29" spans="1:6" x14ac:dyDescent="0.4">
      <c r="A29" s="2">
        <v>26170</v>
      </c>
      <c r="B29" s="1" t="s">
        <v>189</v>
      </c>
      <c r="C29" s="1" t="s">
        <v>416</v>
      </c>
      <c r="D29" s="1">
        <v>129.04458557911099</v>
      </c>
      <c r="E29" s="1">
        <v>35.1291863169522</v>
      </c>
      <c r="F29" s="1" t="s">
        <v>416</v>
      </c>
    </row>
    <row r="30" spans="1:6" x14ac:dyDescent="0.4">
      <c r="A30" s="2">
        <v>26200</v>
      </c>
      <c r="B30" s="1" t="s">
        <v>200</v>
      </c>
      <c r="C30" s="1" t="s">
        <v>417</v>
      </c>
      <c r="D30" s="1">
        <v>129.06482328776599</v>
      </c>
      <c r="E30" s="1">
        <v>35.078649976209299</v>
      </c>
      <c r="F30" s="1" t="s">
        <v>417</v>
      </c>
    </row>
    <row r="31" spans="1:6" x14ac:dyDescent="0.4">
      <c r="A31" s="2">
        <v>26230</v>
      </c>
      <c r="B31" s="1" t="s">
        <v>201</v>
      </c>
      <c r="C31" s="1" t="s">
        <v>418</v>
      </c>
      <c r="D31" s="1">
        <v>129.04306034096101</v>
      </c>
      <c r="E31" s="1">
        <v>35.165244110407599</v>
      </c>
      <c r="F31" s="1" t="s">
        <v>418</v>
      </c>
    </row>
    <row r="32" spans="1:6" x14ac:dyDescent="0.4">
      <c r="A32" s="2">
        <v>26260</v>
      </c>
      <c r="B32" s="1" t="s">
        <v>202</v>
      </c>
      <c r="C32" s="1" t="s">
        <v>419</v>
      </c>
      <c r="D32" s="1">
        <v>129.079220086997</v>
      </c>
      <c r="E32" s="1">
        <v>35.206212441350999</v>
      </c>
      <c r="F32" s="1" t="s">
        <v>419</v>
      </c>
    </row>
    <row r="33" spans="1:6" x14ac:dyDescent="0.4">
      <c r="A33" s="2">
        <v>26290</v>
      </c>
      <c r="B33" s="1" t="s">
        <v>191</v>
      </c>
      <c r="C33" s="1" t="s">
        <v>420</v>
      </c>
      <c r="D33" s="1">
        <v>129.09400637421001</v>
      </c>
      <c r="E33" s="1">
        <v>35.126136785043499</v>
      </c>
      <c r="F33" s="1" t="s">
        <v>420</v>
      </c>
    </row>
    <row r="34" spans="1:6" x14ac:dyDescent="0.4">
      <c r="A34" s="2">
        <v>26320</v>
      </c>
      <c r="B34" s="1" t="s">
        <v>192</v>
      </c>
      <c r="C34" s="1" t="s">
        <v>421</v>
      </c>
      <c r="D34" s="1">
        <v>129.02346325575601</v>
      </c>
      <c r="E34" s="1">
        <v>35.2292478923207</v>
      </c>
      <c r="F34" s="1" t="s">
        <v>421</v>
      </c>
    </row>
    <row r="35" spans="1:6" x14ac:dyDescent="0.4">
      <c r="A35" s="2">
        <v>26350</v>
      </c>
      <c r="B35" s="1" t="s">
        <v>203</v>
      </c>
      <c r="C35" s="1" t="s">
        <v>422</v>
      </c>
      <c r="D35" s="1">
        <v>129.15358998958499</v>
      </c>
      <c r="E35" s="1">
        <v>35.193855123863003</v>
      </c>
      <c r="F35" s="1" t="s">
        <v>422</v>
      </c>
    </row>
    <row r="36" spans="1:6" x14ac:dyDescent="0.4">
      <c r="A36" s="2">
        <v>26380</v>
      </c>
      <c r="B36" s="1" t="s">
        <v>204</v>
      </c>
      <c r="C36" s="1" t="s">
        <v>423</v>
      </c>
      <c r="D36" s="1">
        <v>128.97380766524299</v>
      </c>
      <c r="E36" s="1">
        <v>35.088879115802897</v>
      </c>
      <c r="F36" s="1" t="s">
        <v>423</v>
      </c>
    </row>
    <row r="37" spans="1:6" x14ac:dyDescent="0.4">
      <c r="A37" s="2">
        <v>26410</v>
      </c>
      <c r="B37" s="1" t="s">
        <v>205</v>
      </c>
      <c r="C37" s="1" t="s">
        <v>424</v>
      </c>
      <c r="D37" s="1">
        <v>129.09152874435</v>
      </c>
      <c r="E37" s="1">
        <v>35.2588937452987</v>
      </c>
      <c r="F37" s="1" t="s">
        <v>424</v>
      </c>
    </row>
    <row r="38" spans="1:6" x14ac:dyDescent="0.4">
      <c r="A38" s="2">
        <v>26440</v>
      </c>
      <c r="B38" s="1" t="s">
        <v>206</v>
      </c>
      <c r="C38" s="1" t="s">
        <v>425</v>
      </c>
      <c r="D38" s="1">
        <v>128.89240063276199</v>
      </c>
      <c r="E38" s="1">
        <v>35.138347873623701</v>
      </c>
      <c r="F38" s="1" t="s">
        <v>425</v>
      </c>
    </row>
    <row r="39" spans="1:6" x14ac:dyDescent="0.4">
      <c r="A39" s="2">
        <v>26470</v>
      </c>
      <c r="B39" s="1" t="s">
        <v>207</v>
      </c>
      <c r="C39" s="1" t="s">
        <v>426</v>
      </c>
      <c r="D39" s="1">
        <v>129.08293526714701</v>
      </c>
      <c r="E39" s="1">
        <v>35.182417980427097</v>
      </c>
      <c r="F39" s="1" t="s">
        <v>426</v>
      </c>
    </row>
    <row r="40" spans="1:6" x14ac:dyDescent="0.4">
      <c r="A40" s="2">
        <v>26500</v>
      </c>
      <c r="B40" s="1" t="s">
        <v>208</v>
      </c>
      <c r="C40" s="1" t="s">
        <v>427</v>
      </c>
      <c r="D40" s="1">
        <v>129.111162702944</v>
      </c>
      <c r="E40" s="1">
        <v>35.161331464534001</v>
      </c>
      <c r="F40" s="1" t="s">
        <v>427</v>
      </c>
    </row>
    <row r="41" spans="1:6" x14ac:dyDescent="0.4">
      <c r="A41" s="2">
        <v>26530</v>
      </c>
      <c r="B41" s="1" t="s">
        <v>209</v>
      </c>
      <c r="C41" s="1" t="s">
        <v>428</v>
      </c>
      <c r="D41" s="1">
        <v>128.98659237355</v>
      </c>
      <c r="E41" s="1">
        <v>35.158030968924102</v>
      </c>
      <c r="F41" s="1" t="s">
        <v>428</v>
      </c>
    </row>
    <row r="42" spans="1:6" x14ac:dyDescent="0.4">
      <c r="A42" s="2">
        <v>26710</v>
      </c>
      <c r="B42" s="1" t="s">
        <v>210</v>
      </c>
      <c r="C42" s="1" t="s">
        <v>429</v>
      </c>
      <c r="D42" s="1">
        <v>129.20095599307999</v>
      </c>
      <c r="E42" s="1">
        <v>35.298011655192298</v>
      </c>
      <c r="F42" s="1" t="s">
        <v>429</v>
      </c>
    </row>
    <row r="43" spans="1:6" x14ac:dyDescent="0.4">
      <c r="A43" s="2">
        <v>27110</v>
      </c>
      <c r="B43" s="1" t="s">
        <v>194</v>
      </c>
      <c r="C43" s="1" t="s">
        <v>430</v>
      </c>
      <c r="D43" s="1">
        <v>128.593605829897</v>
      </c>
      <c r="E43" s="1">
        <v>35.866535287078797</v>
      </c>
      <c r="F43" s="1" t="s">
        <v>430</v>
      </c>
    </row>
    <row r="44" spans="1:6" x14ac:dyDescent="0.4">
      <c r="A44" s="2">
        <v>27140</v>
      </c>
      <c r="B44" s="1" t="s">
        <v>189</v>
      </c>
      <c r="C44" s="1" t="s">
        <v>431</v>
      </c>
      <c r="D44" s="1">
        <v>128.68565991987799</v>
      </c>
      <c r="E44" s="1">
        <v>35.934426326964598</v>
      </c>
      <c r="F44" s="1" t="s">
        <v>431</v>
      </c>
    </row>
    <row r="45" spans="1:6" x14ac:dyDescent="0.4">
      <c r="A45" s="2">
        <v>27170</v>
      </c>
      <c r="B45" s="1" t="s">
        <v>190</v>
      </c>
      <c r="C45" s="1" t="s">
        <v>432</v>
      </c>
      <c r="D45" s="1">
        <v>128.54969760013799</v>
      </c>
      <c r="E45" s="1">
        <v>35.8750016701213</v>
      </c>
      <c r="F45" s="1" t="s">
        <v>432</v>
      </c>
    </row>
    <row r="46" spans="1:6" x14ac:dyDescent="0.4">
      <c r="A46" s="2">
        <v>27200</v>
      </c>
      <c r="B46" s="1" t="s">
        <v>191</v>
      </c>
      <c r="C46" s="1" t="s">
        <v>433</v>
      </c>
      <c r="D46" s="1">
        <v>128.58532962764701</v>
      </c>
      <c r="E46" s="1">
        <v>35.835177156626401</v>
      </c>
      <c r="F46" s="1" t="s">
        <v>433</v>
      </c>
    </row>
    <row r="47" spans="1:6" x14ac:dyDescent="0.4">
      <c r="A47" s="2">
        <v>27230</v>
      </c>
      <c r="B47" s="1" t="s">
        <v>192</v>
      </c>
      <c r="C47" s="1" t="s">
        <v>434</v>
      </c>
      <c r="D47" s="1">
        <v>128.577204365928</v>
      </c>
      <c r="E47" s="1">
        <v>35.928922369432399</v>
      </c>
      <c r="F47" s="1" t="s">
        <v>434</v>
      </c>
    </row>
    <row r="48" spans="1:6" x14ac:dyDescent="0.4">
      <c r="A48" s="2">
        <v>27260</v>
      </c>
      <c r="B48" s="1" t="s">
        <v>195</v>
      </c>
      <c r="C48" s="1" t="s">
        <v>435</v>
      </c>
      <c r="D48" s="1">
        <v>128.66127441262</v>
      </c>
      <c r="E48" s="1">
        <v>35.833848859924601</v>
      </c>
      <c r="F48" s="1" t="s">
        <v>435</v>
      </c>
    </row>
    <row r="49" spans="1:6" x14ac:dyDescent="0.4">
      <c r="A49" s="2">
        <v>27290</v>
      </c>
      <c r="B49" s="1" t="s">
        <v>196</v>
      </c>
      <c r="C49" s="1" t="s">
        <v>437</v>
      </c>
      <c r="D49" s="1">
        <v>128.52921214045199</v>
      </c>
      <c r="E49" s="1">
        <v>35.827483097454603</v>
      </c>
      <c r="F49" s="1" t="s">
        <v>437</v>
      </c>
    </row>
    <row r="50" spans="1:6" x14ac:dyDescent="0.4">
      <c r="A50" s="2">
        <v>27710</v>
      </c>
      <c r="B50" s="1" t="s">
        <v>197</v>
      </c>
      <c r="C50" s="1" t="s">
        <v>436</v>
      </c>
      <c r="D50" s="1">
        <v>128.49829809573501</v>
      </c>
      <c r="E50" s="1">
        <v>35.7595730524461</v>
      </c>
      <c r="F50" s="1" t="s">
        <v>436</v>
      </c>
    </row>
    <row r="51" spans="1:6" x14ac:dyDescent="0.4">
      <c r="A51" s="2">
        <v>28110</v>
      </c>
      <c r="B51" s="1" t="s">
        <v>194</v>
      </c>
      <c r="C51" s="1" t="s">
        <v>438</v>
      </c>
      <c r="D51" s="1">
        <v>126.48283750624699</v>
      </c>
      <c r="E51" s="1">
        <v>37.469098964404402</v>
      </c>
      <c r="F51" s="1" t="s">
        <v>438</v>
      </c>
    </row>
    <row r="52" spans="1:6" x14ac:dyDescent="0.4">
      <c r="A52" s="2">
        <v>28140</v>
      </c>
      <c r="B52" s="1" t="s">
        <v>189</v>
      </c>
      <c r="C52" s="1" t="s">
        <v>439</v>
      </c>
      <c r="D52" s="1">
        <v>126.63954391791999</v>
      </c>
      <c r="E52" s="1">
        <v>37.483194219659097</v>
      </c>
      <c r="F52" s="1" t="s">
        <v>439</v>
      </c>
    </row>
    <row r="53" spans="1:6" x14ac:dyDescent="0.4">
      <c r="A53" s="2">
        <v>28177</v>
      </c>
      <c r="B53" s="1" t="s">
        <v>237</v>
      </c>
      <c r="C53" s="1" t="s">
        <v>440</v>
      </c>
      <c r="D53" s="1">
        <v>126.66465739133599</v>
      </c>
      <c r="E53" s="1">
        <v>37.452593015478399</v>
      </c>
      <c r="F53" s="1" t="s">
        <v>440</v>
      </c>
    </row>
    <row r="54" spans="1:6" x14ac:dyDescent="0.4">
      <c r="A54" s="2">
        <v>28185</v>
      </c>
      <c r="B54" s="1" t="s">
        <v>238</v>
      </c>
      <c r="C54" s="1" t="s">
        <v>441</v>
      </c>
      <c r="D54" s="1">
        <v>126.64883462634801</v>
      </c>
      <c r="E54" s="1">
        <v>37.396447200570996</v>
      </c>
      <c r="F54" s="1" t="s">
        <v>441</v>
      </c>
    </row>
    <row r="55" spans="1:6" x14ac:dyDescent="0.4">
      <c r="A55" s="2">
        <v>28200</v>
      </c>
      <c r="B55" s="1" t="s">
        <v>239</v>
      </c>
      <c r="C55" s="1" t="s">
        <v>442</v>
      </c>
      <c r="D55" s="1">
        <v>126.726459491784</v>
      </c>
      <c r="E55" s="1">
        <v>37.431350028310099</v>
      </c>
      <c r="F55" s="1" t="s">
        <v>442</v>
      </c>
    </row>
    <row r="56" spans="1:6" x14ac:dyDescent="0.4">
      <c r="A56" s="2">
        <v>28237</v>
      </c>
      <c r="B56" s="1" t="s">
        <v>240</v>
      </c>
      <c r="C56" s="1" t="s">
        <v>443</v>
      </c>
      <c r="D56" s="1">
        <v>126.72120944765</v>
      </c>
      <c r="E56" s="1">
        <v>37.496658743192803</v>
      </c>
      <c r="F56" s="1" t="s">
        <v>443</v>
      </c>
    </row>
    <row r="57" spans="1:6" x14ac:dyDescent="0.4">
      <c r="A57" s="2">
        <v>28245</v>
      </c>
      <c r="B57" s="1" t="s">
        <v>241</v>
      </c>
      <c r="C57" s="1" t="s">
        <v>444</v>
      </c>
      <c r="D57" s="1">
        <v>126.734699930007</v>
      </c>
      <c r="E57" s="1">
        <v>37.5572969592655</v>
      </c>
      <c r="F57" s="1" t="s">
        <v>444</v>
      </c>
    </row>
    <row r="58" spans="1:6" x14ac:dyDescent="0.4">
      <c r="A58" s="2">
        <v>28260</v>
      </c>
      <c r="B58" s="1" t="s">
        <v>190</v>
      </c>
      <c r="C58" s="1" t="s">
        <v>445</v>
      </c>
      <c r="D58" s="1">
        <v>126.65636443959799</v>
      </c>
      <c r="E58" s="1">
        <v>37.557821166408701</v>
      </c>
      <c r="F58" s="1" t="s">
        <v>445</v>
      </c>
    </row>
    <row r="59" spans="1:6" x14ac:dyDescent="0.4">
      <c r="A59" s="2">
        <v>28710</v>
      </c>
      <c r="B59" s="1" t="s">
        <v>242</v>
      </c>
      <c r="C59" s="1" t="s">
        <v>446</v>
      </c>
      <c r="D59" s="1">
        <v>126.40208536016</v>
      </c>
      <c r="E59" s="1">
        <v>37.712440779604897</v>
      </c>
      <c r="F59" s="1" t="s">
        <v>446</v>
      </c>
    </row>
    <row r="60" spans="1:6" x14ac:dyDescent="0.4">
      <c r="A60" s="2">
        <v>28720</v>
      </c>
      <c r="B60" s="1" t="s">
        <v>243</v>
      </c>
      <c r="C60" s="1" t="s">
        <v>447</v>
      </c>
      <c r="D60" s="1">
        <v>125.635990786604</v>
      </c>
      <c r="E60" s="1">
        <v>37.543970637976102</v>
      </c>
      <c r="F60" s="1" t="s">
        <v>447</v>
      </c>
    </row>
    <row r="61" spans="1:6" x14ac:dyDescent="0.4">
      <c r="A61" s="2">
        <v>29110</v>
      </c>
      <c r="B61" s="1" t="s">
        <v>189</v>
      </c>
      <c r="C61" s="1" t="s">
        <v>448</v>
      </c>
      <c r="D61" s="1">
        <v>126.949464278292</v>
      </c>
      <c r="E61" s="1">
        <v>35.117380231471898</v>
      </c>
      <c r="F61" s="1" t="s">
        <v>448</v>
      </c>
    </row>
    <row r="62" spans="1:6" x14ac:dyDescent="0.4">
      <c r="A62" s="2">
        <v>29140</v>
      </c>
      <c r="B62" s="1" t="s">
        <v>190</v>
      </c>
      <c r="C62" s="1" t="s">
        <v>449</v>
      </c>
      <c r="D62" s="1">
        <v>126.85071913996499</v>
      </c>
      <c r="E62" s="1">
        <v>35.135693108975502</v>
      </c>
      <c r="F62" s="1" t="s">
        <v>449</v>
      </c>
    </row>
    <row r="63" spans="1:6" x14ac:dyDescent="0.4">
      <c r="A63" s="2">
        <v>29155</v>
      </c>
      <c r="B63" s="1" t="s">
        <v>191</v>
      </c>
      <c r="C63" s="1" t="s">
        <v>450</v>
      </c>
      <c r="D63" s="1">
        <v>126.856718099182</v>
      </c>
      <c r="E63" s="1">
        <v>35.094058246228002</v>
      </c>
      <c r="F63" s="1" t="s">
        <v>450</v>
      </c>
    </row>
    <row r="64" spans="1:6" x14ac:dyDescent="0.4">
      <c r="A64" s="2">
        <v>29170</v>
      </c>
      <c r="B64" s="1" t="s">
        <v>192</v>
      </c>
      <c r="C64" s="1" t="s">
        <v>451</v>
      </c>
      <c r="D64" s="1">
        <v>126.925486478595</v>
      </c>
      <c r="E64" s="1">
        <v>35.193246107810999</v>
      </c>
      <c r="F64" s="1" t="s">
        <v>451</v>
      </c>
    </row>
    <row r="65" spans="1:6" x14ac:dyDescent="0.4">
      <c r="A65" s="2">
        <v>29200</v>
      </c>
      <c r="B65" s="1" t="s">
        <v>193</v>
      </c>
      <c r="C65" s="1" t="s">
        <v>452</v>
      </c>
      <c r="D65" s="1">
        <v>126.752895215221</v>
      </c>
      <c r="E65" s="1">
        <v>35.165035015063097</v>
      </c>
      <c r="F65" s="1" t="s">
        <v>452</v>
      </c>
    </row>
    <row r="66" spans="1:6" x14ac:dyDescent="0.4">
      <c r="A66" s="2">
        <v>30110</v>
      </c>
      <c r="B66" s="1" t="s">
        <v>189</v>
      </c>
      <c r="C66" s="1" t="s">
        <v>458</v>
      </c>
      <c r="D66" s="1">
        <v>127.47503742681801</v>
      </c>
      <c r="E66" s="1">
        <v>36.323920231721303</v>
      </c>
      <c r="F66" s="1" t="s">
        <v>458</v>
      </c>
    </row>
    <row r="67" spans="1:6" x14ac:dyDescent="0.4">
      <c r="A67" s="2">
        <v>30140</v>
      </c>
      <c r="B67" s="1" t="s">
        <v>194</v>
      </c>
      <c r="C67" s="1" t="s">
        <v>459</v>
      </c>
      <c r="D67" s="1">
        <v>127.411057308425</v>
      </c>
      <c r="E67" s="1">
        <v>36.280860150836098</v>
      </c>
      <c r="F67" s="1" t="s">
        <v>459</v>
      </c>
    </row>
    <row r="68" spans="1:6" x14ac:dyDescent="0.4">
      <c r="A68" s="2">
        <v>30170</v>
      </c>
      <c r="B68" s="1" t="s">
        <v>190</v>
      </c>
      <c r="C68" s="1" t="s">
        <v>461</v>
      </c>
      <c r="D68" s="1">
        <v>127.34510412515699</v>
      </c>
      <c r="E68" s="1">
        <v>36.280239625715197</v>
      </c>
      <c r="F68" s="1" t="s">
        <v>461</v>
      </c>
    </row>
    <row r="69" spans="1:6" x14ac:dyDescent="0.4">
      <c r="A69" s="2">
        <v>30200</v>
      </c>
      <c r="B69" s="1" t="s">
        <v>198</v>
      </c>
      <c r="C69" s="1" t="s">
        <v>460</v>
      </c>
      <c r="D69" s="1">
        <v>127.333256401426</v>
      </c>
      <c r="E69" s="1">
        <v>36.376790492486201</v>
      </c>
      <c r="F69" s="1" t="s">
        <v>460</v>
      </c>
    </row>
    <row r="70" spans="1:6" x14ac:dyDescent="0.4">
      <c r="A70" s="2">
        <v>30230</v>
      </c>
      <c r="B70" s="1" t="s">
        <v>199</v>
      </c>
      <c r="C70" s="1" t="s">
        <v>462</v>
      </c>
      <c r="D70" s="1">
        <v>127.44015180936</v>
      </c>
      <c r="E70" s="1">
        <v>36.412178681639801</v>
      </c>
      <c r="F70" s="1" t="s">
        <v>462</v>
      </c>
    </row>
    <row r="71" spans="1:6" x14ac:dyDescent="0.4">
      <c r="A71" s="2">
        <v>31110</v>
      </c>
      <c r="B71" s="1" t="s">
        <v>194</v>
      </c>
      <c r="C71" s="1" t="s">
        <v>453</v>
      </c>
      <c r="D71" s="1">
        <v>129.30824285432701</v>
      </c>
      <c r="E71" s="1">
        <v>35.571049338911301</v>
      </c>
      <c r="F71" s="1" t="s">
        <v>453</v>
      </c>
    </row>
    <row r="72" spans="1:6" x14ac:dyDescent="0.4">
      <c r="A72" s="2">
        <v>31140</v>
      </c>
      <c r="B72" s="1" t="s">
        <v>191</v>
      </c>
      <c r="C72" s="1" t="s">
        <v>454</v>
      </c>
      <c r="D72" s="1">
        <v>129.32820225903899</v>
      </c>
      <c r="E72" s="1">
        <v>35.516049955269402</v>
      </c>
      <c r="F72" s="1" t="s">
        <v>454</v>
      </c>
    </row>
    <row r="73" spans="1:6" x14ac:dyDescent="0.4">
      <c r="A73" s="2">
        <v>31170</v>
      </c>
      <c r="B73" s="1" t="s">
        <v>189</v>
      </c>
      <c r="C73" s="1" t="s">
        <v>455</v>
      </c>
      <c r="D73" s="1">
        <v>129.42606551516599</v>
      </c>
      <c r="E73" s="1">
        <v>35.525573651847402</v>
      </c>
      <c r="F73" s="1" t="s">
        <v>455</v>
      </c>
    </row>
    <row r="74" spans="1:6" x14ac:dyDescent="0.4">
      <c r="A74" s="2">
        <v>31200</v>
      </c>
      <c r="B74" s="1" t="s">
        <v>192</v>
      </c>
      <c r="C74" s="1" t="s">
        <v>456</v>
      </c>
      <c r="D74" s="1">
        <v>129.37981050604699</v>
      </c>
      <c r="E74" s="1">
        <v>35.610053922055201</v>
      </c>
      <c r="F74" s="1" t="s">
        <v>456</v>
      </c>
    </row>
    <row r="75" spans="1:6" x14ac:dyDescent="0.4">
      <c r="A75" s="2">
        <v>31710</v>
      </c>
      <c r="B75" s="1" t="s">
        <v>236</v>
      </c>
      <c r="C75" s="1" t="s">
        <v>457</v>
      </c>
      <c r="D75" s="1">
        <v>129.18692549830701</v>
      </c>
      <c r="E75" s="1">
        <v>35.546616733738702</v>
      </c>
      <c r="F75" s="1" t="s">
        <v>457</v>
      </c>
    </row>
    <row r="76" spans="1:6" x14ac:dyDescent="0.4">
      <c r="A76" s="2">
        <v>36110</v>
      </c>
      <c r="B76" s="1" t="s">
        <v>234</v>
      </c>
      <c r="C76" s="1" t="s">
        <v>235</v>
      </c>
      <c r="D76" s="1">
        <v>127.25878005171</v>
      </c>
      <c r="E76" s="1">
        <v>36.560657707770801</v>
      </c>
      <c r="F76" s="1" t="s">
        <v>235</v>
      </c>
    </row>
    <row r="77" spans="1:6" x14ac:dyDescent="0.4">
      <c r="A77" s="2">
        <v>41111</v>
      </c>
      <c r="B77" s="1" t="s">
        <v>41</v>
      </c>
      <c r="C77" s="1" t="s">
        <v>463</v>
      </c>
      <c r="D77" s="1">
        <v>127.003451705928</v>
      </c>
      <c r="E77" s="1">
        <v>37.313965694937202</v>
      </c>
      <c r="F77" s="1" t="s">
        <v>463</v>
      </c>
    </row>
    <row r="78" spans="1:6" x14ac:dyDescent="0.4">
      <c r="A78" s="2">
        <v>41113</v>
      </c>
      <c r="B78" s="1" t="s">
        <v>42</v>
      </c>
      <c r="C78" s="1" t="s">
        <v>463</v>
      </c>
      <c r="D78" s="1">
        <v>126.979758330956</v>
      </c>
      <c r="E78" s="1">
        <v>37.260524760000798</v>
      </c>
      <c r="F78" s="1" t="s">
        <v>463</v>
      </c>
    </row>
    <row r="79" spans="1:6" x14ac:dyDescent="0.4">
      <c r="A79" s="2">
        <v>41115</v>
      </c>
      <c r="B79" s="1" t="s">
        <v>43</v>
      </c>
      <c r="C79" s="1" t="s">
        <v>463</v>
      </c>
      <c r="D79" s="1">
        <v>127.016238668157</v>
      </c>
      <c r="E79" s="1">
        <v>37.277463626377198</v>
      </c>
      <c r="F79" s="1" t="s">
        <v>463</v>
      </c>
    </row>
    <row r="80" spans="1:6" x14ac:dyDescent="0.4">
      <c r="A80" s="2">
        <v>41117</v>
      </c>
      <c r="B80" s="1" t="s">
        <v>44</v>
      </c>
      <c r="C80" s="1" t="s">
        <v>463</v>
      </c>
      <c r="D80" s="1">
        <v>127.056728372156</v>
      </c>
      <c r="E80" s="1">
        <v>37.275019011787897</v>
      </c>
      <c r="F80" s="1" t="s">
        <v>463</v>
      </c>
    </row>
    <row r="81" spans="1:10" x14ac:dyDescent="0.4">
      <c r="A81" s="2">
        <v>41131</v>
      </c>
      <c r="B81" s="1" t="s">
        <v>45</v>
      </c>
      <c r="C81" s="1" t="s">
        <v>464</v>
      </c>
      <c r="D81" s="1">
        <v>127.10414520762301</v>
      </c>
      <c r="E81" s="1">
        <v>37.435166243419097</v>
      </c>
      <c r="F81" s="1" t="s">
        <v>464</v>
      </c>
    </row>
    <row r="82" spans="1:10" x14ac:dyDescent="0.4">
      <c r="A82" s="2">
        <v>41133</v>
      </c>
      <c r="B82" s="1" t="s">
        <v>46</v>
      </c>
      <c r="C82" s="1" t="s">
        <v>464</v>
      </c>
      <c r="D82" s="1">
        <v>127.16390991313899</v>
      </c>
      <c r="E82" s="1">
        <v>37.433433232303898</v>
      </c>
      <c r="F82" s="1" t="s">
        <v>464</v>
      </c>
    </row>
    <row r="83" spans="1:10" x14ac:dyDescent="0.4">
      <c r="A83" s="2">
        <v>41135</v>
      </c>
      <c r="B83" s="1" t="s">
        <v>47</v>
      </c>
      <c r="C83" s="1" t="s">
        <v>464</v>
      </c>
      <c r="D83" s="1">
        <v>127.10606401207799</v>
      </c>
      <c r="E83" s="1">
        <v>37.379301565200301</v>
      </c>
      <c r="F83" s="1" t="s">
        <v>464</v>
      </c>
    </row>
    <row r="84" spans="1:10" x14ac:dyDescent="0.4">
      <c r="A84" s="2">
        <v>41150</v>
      </c>
      <c r="B84" s="1" t="s">
        <v>48</v>
      </c>
      <c r="C84" s="1" t="s">
        <v>465</v>
      </c>
      <c r="D84" s="1">
        <v>127.06842308117</v>
      </c>
      <c r="E84" s="1">
        <v>37.736192108698098</v>
      </c>
      <c r="F84" s="1" t="s">
        <v>465</v>
      </c>
    </row>
    <row r="85" spans="1:10" x14ac:dyDescent="0.4">
      <c r="A85" s="2">
        <v>41171</v>
      </c>
      <c r="B85" s="1" t="s">
        <v>49</v>
      </c>
      <c r="C85" s="1" t="s">
        <v>466</v>
      </c>
      <c r="D85" s="1">
        <v>126.911385562953</v>
      </c>
      <c r="E85" s="1">
        <v>37.404133448230603</v>
      </c>
      <c r="F85" s="1" t="s">
        <v>466</v>
      </c>
    </row>
    <row r="86" spans="1:10" x14ac:dyDescent="0.4">
      <c r="A86" s="2">
        <v>41173</v>
      </c>
      <c r="B86" s="1" t="s">
        <v>50</v>
      </c>
      <c r="C86" s="1" t="s">
        <v>466</v>
      </c>
      <c r="D86" s="1">
        <v>126.955502710589</v>
      </c>
      <c r="E86" s="1">
        <v>37.400391833214499</v>
      </c>
      <c r="F86" s="1" t="s">
        <v>466</v>
      </c>
    </row>
    <row r="87" spans="1:10" x14ac:dyDescent="0.4">
      <c r="A87" s="2">
        <v>41190</v>
      </c>
      <c r="B87" s="1" t="s">
        <v>51</v>
      </c>
      <c r="C87" s="1" t="s">
        <v>467</v>
      </c>
      <c r="D87" s="1">
        <v>126.788710884832</v>
      </c>
      <c r="E87" s="1">
        <v>37.504258332925197</v>
      </c>
      <c r="F87" s="1" t="s">
        <v>467</v>
      </c>
    </row>
    <row r="88" spans="1:10" x14ac:dyDescent="0.4">
      <c r="A88" s="2">
        <v>41210</v>
      </c>
      <c r="B88" s="1" t="s">
        <v>52</v>
      </c>
      <c r="C88" s="1" t="s">
        <v>468</v>
      </c>
      <c r="D88" s="1">
        <v>126.864701314374</v>
      </c>
      <c r="E88" s="1">
        <v>37.445159072947902</v>
      </c>
      <c r="F88" s="1" t="s">
        <v>468</v>
      </c>
    </row>
    <row r="89" spans="1:10" x14ac:dyDescent="0.4">
      <c r="A89" s="2">
        <v>41220</v>
      </c>
      <c r="B89" s="1" t="s">
        <v>53</v>
      </c>
      <c r="C89" s="1" t="s">
        <v>469</v>
      </c>
      <c r="D89" s="1">
        <v>126.98770073111601</v>
      </c>
      <c r="E89" s="1">
        <v>37.011830711990697</v>
      </c>
      <c r="F89" s="1" t="s">
        <v>469</v>
      </c>
    </row>
    <row r="90" spans="1:10" x14ac:dyDescent="0.4">
      <c r="A90" s="2">
        <v>41250</v>
      </c>
      <c r="B90" s="1" t="s">
        <v>54</v>
      </c>
      <c r="C90" s="1" t="s">
        <v>470</v>
      </c>
      <c r="D90" s="1">
        <v>127.077912731502</v>
      </c>
      <c r="E90" s="1">
        <v>37.916537608055698</v>
      </c>
      <c r="F90" s="1" t="s">
        <v>470</v>
      </c>
    </row>
    <row r="91" spans="1:10" x14ac:dyDescent="0.4">
      <c r="A91" s="2">
        <v>41271</v>
      </c>
      <c r="B91" s="1" t="s">
        <v>55</v>
      </c>
      <c r="C91" s="1" t="s">
        <v>471</v>
      </c>
      <c r="D91" s="1">
        <v>126.87081503514899</v>
      </c>
      <c r="E91" s="1">
        <v>37.316003829076799</v>
      </c>
      <c r="F91" s="1" t="s">
        <v>471</v>
      </c>
    </row>
    <row r="92" spans="1:10" x14ac:dyDescent="0.4">
      <c r="A92" s="2">
        <v>41273</v>
      </c>
      <c r="B92" s="1" t="s">
        <v>56</v>
      </c>
      <c r="C92" s="1" t="s">
        <v>471</v>
      </c>
      <c r="D92" s="1">
        <v>126.694041180178</v>
      </c>
      <c r="E92" s="1">
        <v>37.281924910681496</v>
      </c>
      <c r="F92" s="1" t="s">
        <v>471</v>
      </c>
    </row>
    <row r="93" spans="1:10" x14ac:dyDescent="0.4">
      <c r="A93" s="2">
        <v>41281</v>
      </c>
      <c r="B93" s="1" t="s">
        <v>57</v>
      </c>
      <c r="C93" s="1" t="s">
        <v>472</v>
      </c>
      <c r="D93" s="1">
        <v>126.87863210137699</v>
      </c>
      <c r="E93" s="1">
        <v>37.6558098689312</v>
      </c>
      <c r="F93" s="1" t="s">
        <v>472</v>
      </c>
    </row>
    <row r="94" spans="1:10" x14ac:dyDescent="0.4">
      <c r="A94" s="2">
        <v>41285</v>
      </c>
      <c r="B94" s="1" t="s">
        <v>58</v>
      </c>
      <c r="C94" s="1" t="s">
        <v>472</v>
      </c>
      <c r="D94" s="1">
        <v>126.79755818288901</v>
      </c>
      <c r="E94" s="1">
        <v>37.679865141120601</v>
      </c>
      <c r="F94" s="1" t="s">
        <v>472</v>
      </c>
    </row>
    <row r="95" spans="1:10" x14ac:dyDescent="0.4">
      <c r="A95" s="2">
        <v>41287</v>
      </c>
      <c r="B95" s="1" t="s">
        <v>59</v>
      </c>
      <c r="C95" s="1" t="s">
        <v>472</v>
      </c>
      <c r="D95" s="1">
        <v>126.727983527863</v>
      </c>
      <c r="E95" s="1">
        <v>37.680205117765396</v>
      </c>
      <c r="F95" s="1" t="s">
        <v>472</v>
      </c>
    </row>
    <row r="96" spans="1:10" x14ac:dyDescent="0.4">
      <c r="A96" s="2">
        <v>41290</v>
      </c>
      <c r="B96" s="1" t="s">
        <v>60</v>
      </c>
      <c r="C96" s="1" t="str" cm="1">
        <f t="array" ref="C96:C103">"경기도"&amp;" "&amp;$F96:$F103</f>
        <v>경기도 과천시</v>
      </c>
      <c r="D96" s="1">
        <v>127.002679466968</v>
      </c>
      <c r="E96" s="1">
        <v>37.433845285106202</v>
      </c>
      <c r="F96" s="1" t="s">
        <v>61</v>
      </c>
      <c r="J96" s="1"/>
    </row>
    <row r="97" spans="1:6" x14ac:dyDescent="0.4">
      <c r="A97" s="2">
        <v>41310</v>
      </c>
      <c r="B97" s="1" t="s">
        <v>62</v>
      </c>
      <c r="C97" s="1" t="str">
        <v>경기도 구리시</v>
      </c>
      <c r="D97" s="1">
        <v>127.13122991777701</v>
      </c>
      <c r="E97" s="1">
        <v>37.599221494481299</v>
      </c>
      <c r="F97" s="1" t="s">
        <v>63</v>
      </c>
    </row>
    <row r="98" spans="1:6" x14ac:dyDescent="0.4">
      <c r="A98" s="2">
        <v>41360</v>
      </c>
      <c r="B98" s="1" t="s">
        <v>64</v>
      </c>
      <c r="C98" s="1" t="str">
        <v>경기도 남양주시</v>
      </c>
      <c r="D98" s="1">
        <v>127.24366064477999</v>
      </c>
      <c r="E98" s="1">
        <v>37.6625298136195</v>
      </c>
      <c r="F98" s="1" t="s">
        <v>65</v>
      </c>
    </row>
    <row r="99" spans="1:6" x14ac:dyDescent="0.4">
      <c r="A99" s="2">
        <v>41370</v>
      </c>
      <c r="B99" s="1" t="s">
        <v>66</v>
      </c>
      <c r="C99" s="1" t="str">
        <v>경기도 오산시</v>
      </c>
      <c r="D99" s="1">
        <v>127.051329667291</v>
      </c>
      <c r="E99" s="1">
        <v>37.163290679575702</v>
      </c>
      <c r="F99" s="1" t="s">
        <v>67</v>
      </c>
    </row>
    <row r="100" spans="1:6" x14ac:dyDescent="0.4">
      <c r="A100" s="2">
        <v>41390</v>
      </c>
      <c r="B100" s="1" t="s">
        <v>68</v>
      </c>
      <c r="C100" s="1" t="str">
        <v>경기도 시흥시</v>
      </c>
      <c r="D100" s="1">
        <v>126.78839282675099</v>
      </c>
      <c r="E100" s="1">
        <v>37.389397412950103</v>
      </c>
      <c r="F100" s="1" t="s">
        <v>69</v>
      </c>
    </row>
    <row r="101" spans="1:6" x14ac:dyDescent="0.4">
      <c r="A101" s="2">
        <v>41410</v>
      </c>
      <c r="B101" s="1" t="s">
        <v>70</v>
      </c>
      <c r="C101" s="1" t="str">
        <v>경기도 군포시</v>
      </c>
      <c r="D101" s="1">
        <v>126.92113468846399</v>
      </c>
      <c r="E101" s="1">
        <v>37.343482692301002</v>
      </c>
      <c r="F101" s="1" t="s">
        <v>71</v>
      </c>
    </row>
    <row r="102" spans="1:6" x14ac:dyDescent="0.4">
      <c r="A102" s="2">
        <v>41430</v>
      </c>
      <c r="B102" s="1" t="s">
        <v>72</v>
      </c>
      <c r="C102" s="1" t="str">
        <v>경기도 의왕시</v>
      </c>
      <c r="D102" s="1">
        <v>126.989625456095</v>
      </c>
      <c r="E102" s="1">
        <v>37.362387744224499</v>
      </c>
      <c r="F102" s="1" t="s">
        <v>73</v>
      </c>
    </row>
    <row r="103" spans="1:6" x14ac:dyDescent="0.4">
      <c r="A103" s="2">
        <v>41450</v>
      </c>
      <c r="B103" s="1" t="s">
        <v>74</v>
      </c>
      <c r="C103" s="1" t="str">
        <v>경기도 하남시</v>
      </c>
      <c r="D103" s="1">
        <v>127.20594379921</v>
      </c>
      <c r="E103" s="1">
        <v>37.522814177323397</v>
      </c>
      <c r="F103" s="1" t="s">
        <v>75</v>
      </c>
    </row>
    <row r="104" spans="1:6" x14ac:dyDescent="0.4">
      <c r="A104" s="2">
        <v>41461</v>
      </c>
      <c r="B104" s="1" t="s">
        <v>76</v>
      </c>
      <c r="C104" s="1" t="s">
        <v>474</v>
      </c>
      <c r="D104" s="1">
        <v>127.252933149866</v>
      </c>
      <c r="E104" s="1">
        <v>37.203331895747397</v>
      </c>
      <c r="F104" s="1" t="s">
        <v>77</v>
      </c>
    </row>
    <row r="105" spans="1:6" x14ac:dyDescent="0.4">
      <c r="A105" s="2">
        <v>41463</v>
      </c>
      <c r="B105" s="1" t="s">
        <v>78</v>
      </c>
      <c r="C105" s="1" t="s">
        <v>474</v>
      </c>
      <c r="D105" s="1">
        <v>127.121340845942</v>
      </c>
      <c r="E105" s="1">
        <v>37.267431583238299</v>
      </c>
      <c r="F105" s="1" t="s">
        <v>79</v>
      </c>
    </row>
    <row r="106" spans="1:6" x14ac:dyDescent="0.4">
      <c r="A106" s="2">
        <v>41465</v>
      </c>
      <c r="B106" s="1" t="s">
        <v>80</v>
      </c>
      <c r="C106" s="1" t="s">
        <v>474</v>
      </c>
      <c r="D106" s="1">
        <v>127.071551073175</v>
      </c>
      <c r="E106" s="1">
        <v>37.333447429713303</v>
      </c>
      <c r="F106" s="1" t="s">
        <v>81</v>
      </c>
    </row>
    <row r="107" spans="1:6" x14ac:dyDescent="0.4">
      <c r="A107" s="2">
        <v>41480</v>
      </c>
      <c r="B107" s="1" t="s">
        <v>82</v>
      </c>
      <c r="C107" s="1" t="str" cm="1">
        <f t="array" ref="C107:C118">"경기도"&amp;" "&amp;F107:F118</f>
        <v>경기도 파주시</v>
      </c>
      <c r="D107" s="1">
        <v>126.81063317186</v>
      </c>
      <c r="E107" s="1">
        <v>37.856216055224102</v>
      </c>
      <c r="F107" s="1" t="s">
        <v>83</v>
      </c>
    </row>
    <row r="108" spans="1:6" x14ac:dyDescent="0.4">
      <c r="A108" s="2">
        <v>41500</v>
      </c>
      <c r="B108" s="1" t="s">
        <v>84</v>
      </c>
      <c r="C108" s="1" t="str">
        <v>경기도 이천시</v>
      </c>
      <c r="D108" s="1">
        <v>127.481014112008</v>
      </c>
      <c r="E108" s="1">
        <v>37.209775878467603</v>
      </c>
      <c r="F108" s="1" t="s">
        <v>85</v>
      </c>
    </row>
    <row r="109" spans="1:6" x14ac:dyDescent="0.4">
      <c r="A109" s="2">
        <v>41550</v>
      </c>
      <c r="B109" s="1" t="s">
        <v>86</v>
      </c>
      <c r="C109" s="1" t="str">
        <v>경기도 안성시</v>
      </c>
      <c r="D109" s="1">
        <v>127.302722292128</v>
      </c>
      <c r="E109" s="1">
        <v>37.035027054142098</v>
      </c>
      <c r="F109" s="1" t="s">
        <v>87</v>
      </c>
    </row>
    <row r="110" spans="1:6" x14ac:dyDescent="0.4">
      <c r="A110" s="2">
        <v>41570</v>
      </c>
      <c r="B110" s="1" t="s">
        <v>88</v>
      </c>
      <c r="C110" s="1" t="str">
        <v>경기도 김포시</v>
      </c>
      <c r="D110" s="1">
        <v>126.62643062238701</v>
      </c>
      <c r="E110" s="1">
        <v>37.681772372807899</v>
      </c>
      <c r="F110" s="1" t="s">
        <v>89</v>
      </c>
    </row>
    <row r="111" spans="1:6" x14ac:dyDescent="0.4">
      <c r="A111" s="2">
        <v>41590</v>
      </c>
      <c r="B111" s="1" t="s">
        <v>90</v>
      </c>
      <c r="C111" s="1" t="str">
        <v>경기도 화성시</v>
      </c>
      <c r="D111" s="1">
        <v>126.874858719182</v>
      </c>
      <c r="E111" s="1">
        <v>37.165235144165599</v>
      </c>
      <c r="F111" s="1" t="s">
        <v>91</v>
      </c>
    </row>
    <row r="112" spans="1:6" x14ac:dyDescent="0.4">
      <c r="A112" s="2">
        <v>41610</v>
      </c>
      <c r="B112" s="1" t="s">
        <v>92</v>
      </c>
      <c r="C112" s="1" t="str">
        <v>경기도 광주시</v>
      </c>
      <c r="D112" s="1">
        <v>127.30117595196</v>
      </c>
      <c r="E112" s="1">
        <v>37.403090741120103</v>
      </c>
      <c r="F112" s="1" t="s">
        <v>93</v>
      </c>
    </row>
    <row r="113" spans="1:6" x14ac:dyDescent="0.4">
      <c r="A113" s="2">
        <v>41630</v>
      </c>
      <c r="B113" s="1" t="s">
        <v>94</v>
      </c>
      <c r="C113" s="1" t="str">
        <v>경기도 양주시</v>
      </c>
      <c r="D113" s="1">
        <v>127.001134902898</v>
      </c>
      <c r="E113" s="1">
        <v>37.808657558241002</v>
      </c>
      <c r="F113" s="1" t="s">
        <v>95</v>
      </c>
    </row>
    <row r="114" spans="1:6" x14ac:dyDescent="0.4">
      <c r="A114" s="2">
        <v>41650</v>
      </c>
      <c r="B114" s="1" t="s">
        <v>96</v>
      </c>
      <c r="C114" s="1" t="str">
        <v>경기도 포천시</v>
      </c>
      <c r="D114" s="1">
        <v>127.250337280304</v>
      </c>
      <c r="E114" s="1">
        <v>37.969778010760301</v>
      </c>
      <c r="F114" s="1" t="s">
        <v>97</v>
      </c>
    </row>
    <row r="115" spans="1:6" x14ac:dyDescent="0.4">
      <c r="A115" s="2">
        <v>41670</v>
      </c>
      <c r="B115" s="1" t="s">
        <v>98</v>
      </c>
      <c r="C115" s="1" t="str">
        <v>경기도 여주시</v>
      </c>
      <c r="D115" s="1">
        <v>127.615737344978</v>
      </c>
      <c r="E115" s="1">
        <v>37.302458419045003</v>
      </c>
      <c r="F115" s="1" t="s">
        <v>99</v>
      </c>
    </row>
    <row r="116" spans="1:6" x14ac:dyDescent="0.4">
      <c r="A116" s="2">
        <v>41800</v>
      </c>
      <c r="B116" s="1" t="s">
        <v>100</v>
      </c>
      <c r="C116" s="1" t="str">
        <v>경기도 연천군</v>
      </c>
      <c r="D116" s="1">
        <v>127.024456396852</v>
      </c>
      <c r="E116" s="1">
        <v>38.092729947882503</v>
      </c>
      <c r="F116" s="1" t="s">
        <v>101</v>
      </c>
    </row>
    <row r="117" spans="1:6" x14ac:dyDescent="0.4">
      <c r="A117" s="2">
        <v>41820</v>
      </c>
      <c r="B117" s="1" t="s">
        <v>102</v>
      </c>
      <c r="C117" s="1" t="str">
        <v>경기도 가평군</v>
      </c>
      <c r="D117" s="1">
        <v>127.450192131089</v>
      </c>
      <c r="E117" s="1">
        <v>37.8184331715875</v>
      </c>
      <c r="F117" s="1" t="s">
        <v>103</v>
      </c>
    </row>
    <row r="118" spans="1:6" x14ac:dyDescent="0.4">
      <c r="A118" s="2">
        <v>41830</v>
      </c>
      <c r="B118" s="1" t="s">
        <v>104</v>
      </c>
      <c r="C118" s="1" t="str">
        <v>경기도 양평군</v>
      </c>
      <c r="D118" s="1">
        <v>127.579264460353</v>
      </c>
      <c r="E118" s="1">
        <v>37.518055848664901</v>
      </c>
      <c r="F118" s="1" t="s">
        <v>105</v>
      </c>
    </row>
    <row r="119" spans="1:6" x14ac:dyDescent="0.4">
      <c r="A119" s="2">
        <v>42110</v>
      </c>
      <c r="B119" s="1" t="s">
        <v>5</v>
      </c>
      <c r="C119" s="1" t="str" cm="1">
        <f t="array" ref="C119:C136">"강원도"&amp;" "&amp;F119:F136</f>
        <v>강원도 춘천시</v>
      </c>
      <c r="D119" s="1">
        <v>127.739868443904</v>
      </c>
      <c r="E119" s="1">
        <v>37.8897967866926</v>
      </c>
      <c r="F119" s="1" t="s">
        <v>6</v>
      </c>
    </row>
    <row r="120" spans="1:6" x14ac:dyDescent="0.4">
      <c r="A120" s="2">
        <v>42130</v>
      </c>
      <c r="B120" s="1" t="s">
        <v>7</v>
      </c>
      <c r="C120" s="1" t="str">
        <v>강원도 원주시</v>
      </c>
      <c r="D120" s="1">
        <v>127.929525334326</v>
      </c>
      <c r="E120" s="1">
        <v>37.308222877374199</v>
      </c>
      <c r="F120" s="1" t="s">
        <v>8</v>
      </c>
    </row>
    <row r="121" spans="1:6" x14ac:dyDescent="0.4">
      <c r="A121" s="2">
        <v>42150</v>
      </c>
      <c r="B121" s="1" t="s">
        <v>9</v>
      </c>
      <c r="C121" s="1" t="str">
        <v>강원도 강릉시</v>
      </c>
      <c r="D121" s="1">
        <v>128.832378859903</v>
      </c>
      <c r="E121" s="1">
        <v>37.709101972407097</v>
      </c>
      <c r="F121" s="1" t="s">
        <v>10</v>
      </c>
    </row>
    <row r="122" spans="1:6" x14ac:dyDescent="0.4">
      <c r="A122" s="2">
        <v>42170</v>
      </c>
      <c r="B122" s="1" t="s">
        <v>11</v>
      </c>
      <c r="C122" s="1" t="str">
        <v>강원도 동해시</v>
      </c>
      <c r="D122" s="1">
        <v>129.05562761624901</v>
      </c>
      <c r="E122" s="1">
        <v>37.5067198236801</v>
      </c>
      <c r="F122" s="1" t="s">
        <v>12</v>
      </c>
    </row>
    <row r="123" spans="1:6" x14ac:dyDescent="0.4">
      <c r="A123" s="2">
        <v>42190</v>
      </c>
      <c r="B123" s="1" t="s">
        <v>13</v>
      </c>
      <c r="C123" s="1" t="str">
        <v>강원도 태백시</v>
      </c>
      <c r="D123" s="1">
        <v>128.98007261254199</v>
      </c>
      <c r="E123" s="1">
        <v>37.172312409606199</v>
      </c>
      <c r="F123" s="1" t="s">
        <v>14</v>
      </c>
    </row>
    <row r="124" spans="1:6" x14ac:dyDescent="0.4">
      <c r="A124" s="2">
        <v>42210</v>
      </c>
      <c r="B124" s="1" t="s">
        <v>15</v>
      </c>
      <c r="C124" s="1" t="str">
        <v>강원도 속초시</v>
      </c>
      <c r="D124" s="1">
        <v>128.51954102335799</v>
      </c>
      <c r="E124" s="1">
        <v>38.176031378662202</v>
      </c>
      <c r="F124" s="1" t="s">
        <v>16</v>
      </c>
    </row>
    <row r="125" spans="1:6" x14ac:dyDescent="0.4">
      <c r="A125" s="2">
        <v>42230</v>
      </c>
      <c r="B125" s="1" t="s">
        <v>17</v>
      </c>
      <c r="C125" s="1" t="str">
        <v>강원도 삼척시</v>
      </c>
      <c r="D125" s="1">
        <v>129.121898573425</v>
      </c>
      <c r="E125" s="1">
        <v>37.277449224962602</v>
      </c>
      <c r="F125" s="1" t="s">
        <v>18</v>
      </c>
    </row>
    <row r="126" spans="1:6" x14ac:dyDescent="0.4">
      <c r="A126" s="2">
        <v>42720</v>
      </c>
      <c r="B126" s="1" t="s">
        <v>19</v>
      </c>
      <c r="C126" s="1" t="str">
        <v>강원도 홍천군</v>
      </c>
      <c r="D126" s="1">
        <v>128.074260851068</v>
      </c>
      <c r="E126" s="1">
        <v>37.7450490651797</v>
      </c>
      <c r="F126" s="1" t="s">
        <v>20</v>
      </c>
    </row>
    <row r="127" spans="1:6" x14ac:dyDescent="0.4">
      <c r="A127" s="2">
        <v>42730</v>
      </c>
      <c r="B127" s="1" t="s">
        <v>21</v>
      </c>
      <c r="C127" s="1" t="str">
        <v>강원도 횡성군</v>
      </c>
      <c r="D127" s="1">
        <v>128.07706739941099</v>
      </c>
      <c r="E127" s="1">
        <v>37.509142070861998</v>
      </c>
      <c r="F127" s="1" t="s">
        <v>22</v>
      </c>
    </row>
    <row r="128" spans="1:6" x14ac:dyDescent="0.4">
      <c r="A128" s="2">
        <v>42750</v>
      </c>
      <c r="B128" s="1" t="s">
        <v>23</v>
      </c>
      <c r="C128" s="1" t="str">
        <v>강원도 영월군</v>
      </c>
      <c r="D128" s="1">
        <v>128.50029603418301</v>
      </c>
      <c r="E128" s="1">
        <v>37.204113613948302</v>
      </c>
      <c r="F128" s="1" t="s">
        <v>24</v>
      </c>
    </row>
    <row r="129" spans="1:6" x14ac:dyDescent="0.4">
      <c r="A129" s="2">
        <v>42760</v>
      </c>
      <c r="B129" s="1" t="s">
        <v>25</v>
      </c>
      <c r="C129" s="1" t="str">
        <v>강원도 평창군</v>
      </c>
      <c r="D129" s="1">
        <v>128.482589988928</v>
      </c>
      <c r="E129" s="1">
        <v>37.556839209227697</v>
      </c>
      <c r="F129" s="1" t="s">
        <v>26</v>
      </c>
    </row>
    <row r="130" spans="1:6" x14ac:dyDescent="0.4">
      <c r="A130" s="2">
        <v>42770</v>
      </c>
      <c r="B130" s="1" t="s">
        <v>27</v>
      </c>
      <c r="C130" s="1" t="str">
        <v>강원도 정선군</v>
      </c>
      <c r="D130" s="1">
        <v>128.73906316457601</v>
      </c>
      <c r="E130" s="1">
        <v>37.378686291946899</v>
      </c>
      <c r="F130" s="1" t="s">
        <v>28</v>
      </c>
    </row>
    <row r="131" spans="1:6" x14ac:dyDescent="0.4">
      <c r="A131" s="2">
        <v>42780</v>
      </c>
      <c r="B131" s="1" t="s">
        <v>29</v>
      </c>
      <c r="C131" s="1" t="str">
        <v>강원도 철원군</v>
      </c>
      <c r="D131" s="1">
        <v>127.398924395202</v>
      </c>
      <c r="E131" s="1">
        <v>38.239085227805099</v>
      </c>
      <c r="F131" s="1" t="s">
        <v>30</v>
      </c>
    </row>
    <row r="132" spans="1:6" x14ac:dyDescent="0.4">
      <c r="A132" s="2">
        <v>42790</v>
      </c>
      <c r="B132" s="1" t="s">
        <v>31</v>
      </c>
      <c r="C132" s="1" t="str">
        <v>강원도 화천군</v>
      </c>
      <c r="D132" s="1">
        <v>127.685165712505</v>
      </c>
      <c r="E132" s="1">
        <v>38.138426283389698</v>
      </c>
      <c r="F132" s="1" t="s">
        <v>32</v>
      </c>
    </row>
    <row r="133" spans="1:6" x14ac:dyDescent="0.4">
      <c r="A133" s="2">
        <v>42800</v>
      </c>
      <c r="B133" s="1" t="s">
        <v>33</v>
      </c>
      <c r="C133" s="1" t="str">
        <v>강원도 양구군</v>
      </c>
      <c r="D133" s="1">
        <v>128.000206375559</v>
      </c>
      <c r="E133" s="1">
        <v>38.175608792939499</v>
      </c>
      <c r="F133" s="1" t="s">
        <v>34</v>
      </c>
    </row>
    <row r="134" spans="1:6" x14ac:dyDescent="0.4">
      <c r="A134" s="2">
        <v>42810</v>
      </c>
      <c r="B134" s="1" t="s">
        <v>35</v>
      </c>
      <c r="C134" s="1" t="str">
        <v>강원도 인제군</v>
      </c>
      <c r="D134" s="1">
        <v>128.26472715316299</v>
      </c>
      <c r="E134" s="1">
        <v>38.064600261147604</v>
      </c>
      <c r="F134" s="1" t="s">
        <v>36</v>
      </c>
    </row>
    <row r="135" spans="1:6" x14ac:dyDescent="0.4">
      <c r="A135" s="2">
        <v>42820</v>
      </c>
      <c r="B135" s="1" t="s">
        <v>37</v>
      </c>
      <c r="C135" s="1" t="str">
        <v>강원도 고성군</v>
      </c>
      <c r="D135" s="1">
        <v>128.411155527582</v>
      </c>
      <c r="E135" s="1">
        <v>38.3627536323134</v>
      </c>
      <c r="F135" s="1" t="s">
        <v>38</v>
      </c>
    </row>
    <row r="136" spans="1:6" x14ac:dyDescent="0.4">
      <c r="A136" s="2">
        <v>42830</v>
      </c>
      <c r="B136" s="1" t="s">
        <v>39</v>
      </c>
      <c r="C136" s="1" t="str">
        <v>강원도 양양군</v>
      </c>
      <c r="D136" s="1">
        <v>128.595008608358</v>
      </c>
      <c r="E136" s="1">
        <v>38.004486337840397</v>
      </c>
      <c r="F136" s="1" t="s">
        <v>40</v>
      </c>
    </row>
    <row r="137" spans="1:6" x14ac:dyDescent="0.4">
      <c r="A137" s="2">
        <v>43111</v>
      </c>
      <c r="B137" s="1" t="s">
        <v>354</v>
      </c>
      <c r="C137" s="1" t="s">
        <v>475</v>
      </c>
      <c r="D137" s="1">
        <v>127.584881845482</v>
      </c>
      <c r="E137" s="1">
        <v>36.592112574105499</v>
      </c>
      <c r="F137" s="1" t="s">
        <v>378</v>
      </c>
    </row>
    <row r="138" spans="1:6" x14ac:dyDescent="0.4">
      <c r="A138" s="2">
        <v>43112</v>
      </c>
      <c r="B138" s="1" t="s">
        <v>355</v>
      </c>
      <c r="C138" s="1" t="s">
        <v>475</v>
      </c>
      <c r="D138" s="1">
        <v>127.43840329587</v>
      </c>
      <c r="E138" s="1">
        <v>36.547265056023399</v>
      </c>
      <c r="F138" s="1" t="s">
        <v>379</v>
      </c>
    </row>
    <row r="139" spans="1:6" x14ac:dyDescent="0.4">
      <c r="A139" s="2">
        <v>43113</v>
      </c>
      <c r="B139" s="1" t="s">
        <v>356</v>
      </c>
      <c r="C139" s="1" t="s">
        <v>475</v>
      </c>
      <c r="D139" s="1">
        <v>127.36927488397301</v>
      </c>
      <c r="E139" s="1">
        <v>36.646960762585898</v>
      </c>
      <c r="F139" s="1" t="s">
        <v>380</v>
      </c>
    </row>
    <row r="140" spans="1:6" x14ac:dyDescent="0.4">
      <c r="A140" s="2">
        <v>43114</v>
      </c>
      <c r="B140" s="1" t="s">
        <v>357</v>
      </c>
      <c r="C140" s="1" t="s">
        <v>475</v>
      </c>
      <c r="D140" s="1">
        <v>127.491317617216</v>
      </c>
      <c r="E140" s="1">
        <v>36.720578914080697</v>
      </c>
      <c r="F140" s="1" t="s">
        <v>381</v>
      </c>
    </row>
    <row r="141" spans="1:6" x14ac:dyDescent="0.4">
      <c r="A141" s="2">
        <v>43130</v>
      </c>
      <c r="B141" s="1" t="s">
        <v>358</v>
      </c>
      <c r="C141" s="1" t="str" cm="1">
        <f t="array" ref="C141:C150">"충청북도"&amp;" "&amp;F141:F150</f>
        <v>충청북도 충주시</v>
      </c>
      <c r="D141" s="1">
        <v>127.895662264793</v>
      </c>
      <c r="E141" s="1">
        <v>37.015196942230503</v>
      </c>
      <c r="F141" s="1" t="s">
        <v>359</v>
      </c>
    </row>
    <row r="142" spans="1:6" x14ac:dyDescent="0.4">
      <c r="A142" s="2">
        <v>43150</v>
      </c>
      <c r="B142" s="1" t="s">
        <v>360</v>
      </c>
      <c r="C142" s="1" t="str">
        <v>충청북도 제천시</v>
      </c>
      <c r="D142" s="1">
        <v>128.140959298263</v>
      </c>
      <c r="E142" s="1">
        <v>37.059911832008503</v>
      </c>
      <c r="F142" s="1" t="s">
        <v>361</v>
      </c>
    </row>
    <row r="143" spans="1:6" x14ac:dyDescent="0.4">
      <c r="A143" s="2">
        <v>43720</v>
      </c>
      <c r="B143" s="1" t="s">
        <v>362</v>
      </c>
      <c r="C143" s="1" t="str">
        <v>충청북도 보은군</v>
      </c>
      <c r="D143" s="1">
        <v>127.729335671527</v>
      </c>
      <c r="E143" s="1">
        <v>36.489949587700501</v>
      </c>
      <c r="F143" s="1" t="s">
        <v>363</v>
      </c>
    </row>
    <row r="144" spans="1:6" x14ac:dyDescent="0.4">
      <c r="A144" s="2">
        <v>43730</v>
      </c>
      <c r="B144" s="1" t="s">
        <v>364</v>
      </c>
      <c r="C144" s="1" t="str">
        <v>충청북도 옥천군</v>
      </c>
      <c r="D144" s="1">
        <v>127.656558857677</v>
      </c>
      <c r="E144" s="1">
        <v>36.3204561131178</v>
      </c>
      <c r="F144" s="1" t="s">
        <v>365</v>
      </c>
    </row>
    <row r="145" spans="1:6" x14ac:dyDescent="0.4">
      <c r="A145" s="2">
        <v>43740</v>
      </c>
      <c r="B145" s="1" t="s">
        <v>366</v>
      </c>
      <c r="C145" s="1" t="str">
        <v>충청북도 영동군</v>
      </c>
      <c r="D145" s="1">
        <v>127.814228143628</v>
      </c>
      <c r="E145" s="1">
        <v>36.159658956543097</v>
      </c>
      <c r="F145" s="1" t="s">
        <v>367</v>
      </c>
    </row>
    <row r="146" spans="1:6" x14ac:dyDescent="0.4">
      <c r="A146" s="2">
        <v>43745</v>
      </c>
      <c r="B146" s="1" t="s">
        <v>368</v>
      </c>
      <c r="C146" s="1" t="str">
        <v>충청북도 증평군</v>
      </c>
      <c r="D146" s="1">
        <v>127.60461807823199</v>
      </c>
      <c r="E146" s="1">
        <v>36.786473013507297</v>
      </c>
      <c r="F146" s="1" t="s">
        <v>369</v>
      </c>
    </row>
    <row r="147" spans="1:6" x14ac:dyDescent="0.4">
      <c r="A147" s="2">
        <v>43750</v>
      </c>
      <c r="B147" s="1" t="s">
        <v>370</v>
      </c>
      <c r="C147" s="1" t="str">
        <v>충청북도 진천군</v>
      </c>
      <c r="D147" s="1">
        <v>127.440463550866</v>
      </c>
      <c r="E147" s="1">
        <v>36.870999519374898</v>
      </c>
      <c r="F147" s="1" t="s">
        <v>371</v>
      </c>
    </row>
    <row r="148" spans="1:6" x14ac:dyDescent="0.4">
      <c r="A148" s="2">
        <v>43760</v>
      </c>
      <c r="B148" s="1" t="s">
        <v>372</v>
      </c>
      <c r="C148" s="1" t="str">
        <v>충청북도 괴산군</v>
      </c>
      <c r="D148" s="1">
        <v>127.829588124542</v>
      </c>
      <c r="E148" s="1">
        <v>36.769659025419799</v>
      </c>
      <c r="F148" s="1" t="s">
        <v>373</v>
      </c>
    </row>
    <row r="149" spans="1:6" x14ac:dyDescent="0.4">
      <c r="A149" s="2">
        <v>43770</v>
      </c>
      <c r="B149" s="1" t="s">
        <v>374</v>
      </c>
      <c r="C149" s="1" t="str">
        <v>충청북도 음성군</v>
      </c>
      <c r="D149" s="1">
        <v>127.614206769649</v>
      </c>
      <c r="E149" s="1">
        <v>36.976222614392498</v>
      </c>
      <c r="F149" s="1" t="s">
        <v>375</v>
      </c>
    </row>
    <row r="150" spans="1:6" x14ac:dyDescent="0.4">
      <c r="A150" s="2">
        <v>43800</v>
      </c>
      <c r="B150" s="1" t="s">
        <v>376</v>
      </c>
      <c r="C150" s="1" t="str">
        <v>충청북도 단양군</v>
      </c>
      <c r="D150" s="1">
        <v>128.38784162081001</v>
      </c>
      <c r="E150" s="1">
        <v>36.994452762464299</v>
      </c>
      <c r="F150" s="1" t="s">
        <v>377</v>
      </c>
    </row>
    <row r="151" spans="1:6" x14ac:dyDescent="0.4">
      <c r="A151" s="2">
        <v>44131</v>
      </c>
      <c r="B151" s="1" t="s">
        <v>322</v>
      </c>
      <c r="C151" s="1" t="s">
        <v>476</v>
      </c>
      <c r="D151" s="1">
        <v>127.220894604506</v>
      </c>
      <c r="E151" s="1">
        <v>36.7641172204371</v>
      </c>
      <c r="F151" s="1" t="s">
        <v>323</v>
      </c>
    </row>
    <row r="152" spans="1:6" x14ac:dyDescent="0.4">
      <c r="A152" s="2">
        <v>44133</v>
      </c>
      <c r="B152" s="1" t="s">
        <v>324</v>
      </c>
      <c r="C152" s="1" t="s">
        <v>476</v>
      </c>
      <c r="D152" s="1">
        <v>127.16180940387</v>
      </c>
      <c r="E152" s="1">
        <v>36.892710665016899</v>
      </c>
      <c r="F152" s="1" t="s">
        <v>325</v>
      </c>
    </row>
    <row r="153" spans="1:6" x14ac:dyDescent="0.4">
      <c r="A153" s="2">
        <v>44150</v>
      </c>
      <c r="B153" s="1" t="s">
        <v>326</v>
      </c>
      <c r="C153" s="1" t="str" cm="1">
        <f t="array" ref="C153:C166">"충청남도"&amp;" "&amp;F153:F166</f>
        <v>충청남도 공주시</v>
      </c>
      <c r="D153" s="1">
        <v>127.07521911409199</v>
      </c>
      <c r="E153" s="1">
        <v>36.479819761915998</v>
      </c>
      <c r="F153" s="1" t="s">
        <v>327</v>
      </c>
    </row>
    <row r="154" spans="1:6" x14ac:dyDescent="0.4">
      <c r="A154" s="2">
        <v>44180</v>
      </c>
      <c r="B154" s="1" t="s">
        <v>328</v>
      </c>
      <c r="C154" s="1" t="str">
        <v>충청남도 보령시</v>
      </c>
      <c r="D154" s="1">
        <v>126.592969076198</v>
      </c>
      <c r="E154" s="1">
        <v>36.343281240506499</v>
      </c>
      <c r="F154" s="1" t="s">
        <v>329</v>
      </c>
    </row>
    <row r="155" spans="1:6" x14ac:dyDescent="0.4">
      <c r="A155" s="2">
        <v>44200</v>
      </c>
      <c r="B155" s="1" t="s">
        <v>330</v>
      </c>
      <c r="C155" s="1" t="str">
        <v>충청남도 아산시</v>
      </c>
      <c r="D155" s="1">
        <v>126.98007557008199</v>
      </c>
      <c r="E155" s="1">
        <v>36.807316334340697</v>
      </c>
      <c r="F155" s="1" t="s">
        <v>331</v>
      </c>
    </row>
    <row r="156" spans="1:6" x14ac:dyDescent="0.4">
      <c r="A156" s="2">
        <v>44210</v>
      </c>
      <c r="B156" s="1" t="s">
        <v>332</v>
      </c>
      <c r="C156" s="1" t="str">
        <v>충청남도 서산시</v>
      </c>
      <c r="D156" s="1">
        <v>126.46360158405</v>
      </c>
      <c r="E156" s="1">
        <v>36.783993455753702</v>
      </c>
      <c r="F156" s="1" t="s">
        <v>333</v>
      </c>
    </row>
    <row r="157" spans="1:6" x14ac:dyDescent="0.4">
      <c r="A157" s="2">
        <v>44230</v>
      </c>
      <c r="B157" s="1" t="s">
        <v>334</v>
      </c>
      <c r="C157" s="1" t="str">
        <v>충청남도 논산시</v>
      </c>
      <c r="D157" s="1">
        <v>127.157716376655</v>
      </c>
      <c r="E157" s="1">
        <v>36.190886913342197</v>
      </c>
      <c r="F157" s="1" t="s">
        <v>335</v>
      </c>
    </row>
    <row r="158" spans="1:6" x14ac:dyDescent="0.4">
      <c r="A158" s="2">
        <v>44250</v>
      </c>
      <c r="B158" s="1" t="s">
        <v>336</v>
      </c>
      <c r="C158" s="1" t="str">
        <v>충청남도 계룡시</v>
      </c>
      <c r="D158" s="1">
        <v>127.234426611849</v>
      </c>
      <c r="E158" s="1">
        <v>36.291593697540002</v>
      </c>
      <c r="F158" s="1" t="s">
        <v>337</v>
      </c>
    </row>
    <row r="159" spans="1:6" x14ac:dyDescent="0.4">
      <c r="A159" s="2">
        <v>44270</v>
      </c>
      <c r="B159" s="1" t="s">
        <v>338</v>
      </c>
      <c r="C159" s="1" t="str">
        <v>충청남도 당진시</v>
      </c>
      <c r="D159" s="1">
        <v>126.652744489844</v>
      </c>
      <c r="E159" s="1">
        <v>36.903257780653</v>
      </c>
      <c r="F159" s="1" t="s">
        <v>339</v>
      </c>
    </row>
    <row r="160" spans="1:6" x14ac:dyDescent="0.4">
      <c r="A160" s="2">
        <v>44710</v>
      </c>
      <c r="B160" s="1" t="s">
        <v>340</v>
      </c>
      <c r="C160" s="1" t="str">
        <v>충청남도 금산군</v>
      </c>
      <c r="D160" s="1">
        <v>127.47831188873199</v>
      </c>
      <c r="E160" s="1">
        <v>36.119000806267401</v>
      </c>
      <c r="F160" s="1" t="s">
        <v>341</v>
      </c>
    </row>
    <row r="161" spans="1:6" x14ac:dyDescent="0.4">
      <c r="A161" s="2">
        <v>44760</v>
      </c>
      <c r="B161" s="1" t="s">
        <v>342</v>
      </c>
      <c r="C161" s="1" t="str">
        <v>충청남도 부여군</v>
      </c>
      <c r="D161" s="1">
        <v>126.856967641628</v>
      </c>
      <c r="E161" s="1">
        <v>36.246383897232597</v>
      </c>
      <c r="F161" s="1" t="s">
        <v>343</v>
      </c>
    </row>
    <row r="162" spans="1:6" x14ac:dyDescent="0.4">
      <c r="A162" s="2">
        <v>44770</v>
      </c>
      <c r="B162" s="1" t="s">
        <v>344</v>
      </c>
      <c r="C162" s="1" t="str">
        <v>충청남도 서천군</v>
      </c>
      <c r="D162" s="1">
        <v>126.704956417305</v>
      </c>
      <c r="E162" s="1">
        <v>36.106610096272</v>
      </c>
      <c r="F162" s="1" t="s">
        <v>345</v>
      </c>
    </row>
    <row r="163" spans="1:6" x14ac:dyDescent="0.4">
      <c r="A163" s="2">
        <v>44790</v>
      </c>
      <c r="B163" s="1" t="s">
        <v>346</v>
      </c>
      <c r="C163" s="1" t="str">
        <v>충청남도 청양군</v>
      </c>
      <c r="D163" s="1">
        <v>126.85311311134799</v>
      </c>
      <c r="E163" s="1">
        <v>36.430582958829298</v>
      </c>
      <c r="F163" s="1" t="s">
        <v>347</v>
      </c>
    </row>
    <row r="164" spans="1:6" x14ac:dyDescent="0.4">
      <c r="A164" s="2">
        <v>44800</v>
      </c>
      <c r="B164" s="1" t="s">
        <v>348</v>
      </c>
      <c r="C164" s="1" t="str">
        <v>충청남도 홍성군</v>
      </c>
      <c r="D164" s="1">
        <v>126.62582959709501</v>
      </c>
      <c r="E164" s="1">
        <v>36.570089488530201</v>
      </c>
      <c r="F164" s="1" t="s">
        <v>349</v>
      </c>
    </row>
    <row r="165" spans="1:6" x14ac:dyDescent="0.4">
      <c r="A165" s="2">
        <v>44810</v>
      </c>
      <c r="B165" s="1" t="s">
        <v>350</v>
      </c>
      <c r="C165" s="1" t="str">
        <v>충청남도 예산군</v>
      </c>
      <c r="D165" s="1">
        <v>126.784309990144</v>
      </c>
      <c r="E165" s="1">
        <v>36.670628618420601</v>
      </c>
      <c r="F165" s="1" t="s">
        <v>351</v>
      </c>
    </row>
    <row r="166" spans="1:6" x14ac:dyDescent="0.4">
      <c r="A166" s="2">
        <v>44825</v>
      </c>
      <c r="B166" s="1" t="s">
        <v>352</v>
      </c>
      <c r="C166" s="1" t="str">
        <v>충청남도 태안군</v>
      </c>
      <c r="D166" s="1">
        <v>126.28095711045501</v>
      </c>
      <c r="E166" s="1">
        <v>36.703661300189601</v>
      </c>
      <c r="F166" s="1" t="s">
        <v>353</v>
      </c>
    </row>
    <row r="167" spans="1:6" x14ac:dyDescent="0.4">
      <c r="A167" s="2">
        <v>45111</v>
      </c>
      <c r="B167" s="1" t="s">
        <v>288</v>
      </c>
      <c r="C167" s="1" t="s">
        <v>477</v>
      </c>
      <c r="D167" s="1">
        <v>127.120764418251</v>
      </c>
      <c r="E167" s="1">
        <v>35.791249369419603</v>
      </c>
      <c r="F167" s="1" t="s">
        <v>289</v>
      </c>
    </row>
    <row r="168" spans="1:6" x14ac:dyDescent="0.4">
      <c r="A168" s="2">
        <v>45113</v>
      </c>
      <c r="B168" s="1" t="s">
        <v>290</v>
      </c>
      <c r="C168" s="1" t="s">
        <v>477</v>
      </c>
      <c r="D168" s="1">
        <v>127.11175319980801</v>
      </c>
      <c r="E168" s="1">
        <v>35.858323257216298</v>
      </c>
      <c r="F168" s="1" t="s">
        <v>291</v>
      </c>
    </row>
    <row r="169" spans="1:6" x14ac:dyDescent="0.4">
      <c r="A169" s="2">
        <v>45130</v>
      </c>
      <c r="B169" s="1" t="s">
        <v>292</v>
      </c>
      <c r="C169" s="1" t="str" cm="1">
        <f t="array" ref="C169:C181">"전라북도"&amp;" "&amp;F169:F181</f>
        <v>전라북도 군산시</v>
      </c>
      <c r="D169" s="1">
        <v>126.726015246248</v>
      </c>
      <c r="E169" s="1">
        <v>35.950438943026398</v>
      </c>
      <c r="F169" s="1" t="s">
        <v>293</v>
      </c>
    </row>
    <row r="170" spans="1:6" x14ac:dyDescent="0.4">
      <c r="A170" s="2">
        <v>45140</v>
      </c>
      <c r="B170" s="1" t="s">
        <v>294</v>
      </c>
      <c r="C170" s="1" t="str">
        <v>전라북도 익산시</v>
      </c>
      <c r="D170" s="1">
        <v>126.989510169826</v>
      </c>
      <c r="E170" s="1">
        <v>36.023105554004601</v>
      </c>
      <c r="F170" s="1" t="s">
        <v>295</v>
      </c>
    </row>
    <row r="171" spans="1:6" x14ac:dyDescent="0.4">
      <c r="A171" s="2">
        <v>45180</v>
      </c>
      <c r="B171" s="1" t="s">
        <v>296</v>
      </c>
      <c r="C171" s="1" t="str">
        <v>전라북도 정읍시</v>
      </c>
      <c r="D171" s="1">
        <v>126.905857544493</v>
      </c>
      <c r="E171" s="1">
        <v>35.6026246603655</v>
      </c>
      <c r="F171" s="1" t="s">
        <v>297</v>
      </c>
    </row>
    <row r="172" spans="1:6" x14ac:dyDescent="0.4">
      <c r="A172" s="2">
        <v>45190</v>
      </c>
      <c r="B172" s="1" t="s">
        <v>298</v>
      </c>
      <c r="C172" s="1" t="str">
        <v>전라북도 남원시</v>
      </c>
      <c r="D172" s="1">
        <v>127.441889737369</v>
      </c>
      <c r="E172" s="1">
        <v>35.422544796947903</v>
      </c>
      <c r="F172" s="1" t="s">
        <v>299</v>
      </c>
    </row>
    <row r="173" spans="1:6" x14ac:dyDescent="0.4">
      <c r="A173" s="2">
        <v>45210</v>
      </c>
      <c r="B173" s="1" t="s">
        <v>300</v>
      </c>
      <c r="C173" s="1" t="str">
        <v>전라북도 김제시</v>
      </c>
      <c r="D173" s="1">
        <v>126.89488569577701</v>
      </c>
      <c r="E173" s="1">
        <v>35.806716444019997</v>
      </c>
      <c r="F173" s="1" t="s">
        <v>301</v>
      </c>
    </row>
    <row r="174" spans="1:6" x14ac:dyDescent="0.4">
      <c r="A174" s="2">
        <v>45710</v>
      </c>
      <c r="B174" s="1" t="s">
        <v>302</v>
      </c>
      <c r="C174" s="1" t="str">
        <v>전라북도 완주군</v>
      </c>
      <c r="D174" s="1">
        <v>127.215114637507</v>
      </c>
      <c r="E174" s="1">
        <v>35.9186144442317</v>
      </c>
      <c r="F174" s="1" t="s">
        <v>303</v>
      </c>
    </row>
    <row r="175" spans="1:6" x14ac:dyDescent="0.4">
      <c r="A175" s="2">
        <v>45720</v>
      </c>
      <c r="B175" s="1" t="s">
        <v>304</v>
      </c>
      <c r="C175" s="1" t="str">
        <v>전라북도 진안군</v>
      </c>
      <c r="D175" s="1">
        <v>127.430035441264</v>
      </c>
      <c r="E175" s="1">
        <v>35.828807454224901</v>
      </c>
      <c r="F175" s="1" t="s">
        <v>305</v>
      </c>
    </row>
    <row r="176" spans="1:6" x14ac:dyDescent="0.4">
      <c r="A176" s="2">
        <v>45730</v>
      </c>
      <c r="B176" s="1" t="s">
        <v>306</v>
      </c>
      <c r="C176" s="1" t="str">
        <v>전라북도 무주군</v>
      </c>
      <c r="D176" s="1">
        <v>127.712953110664</v>
      </c>
      <c r="E176" s="1">
        <v>35.939367357243697</v>
      </c>
      <c r="F176" s="1" t="s">
        <v>307</v>
      </c>
    </row>
    <row r="177" spans="1:6" x14ac:dyDescent="0.4">
      <c r="A177" s="2">
        <v>45740</v>
      </c>
      <c r="B177" s="1" t="s">
        <v>308</v>
      </c>
      <c r="C177" s="1" t="str">
        <v>전라북도 장수군</v>
      </c>
      <c r="D177" s="1">
        <v>127.544264073338</v>
      </c>
      <c r="E177" s="1">
        <v>35.657460976652601</v>
      </c>
      <c r="F177" s="1" t="s">
        <v>309</v>
      </c>
    </row>
    <row r="178" spans="1:6" x14ac:dyDescent="0.4">
      <c r="A178" s="2">
        <v>45750</v>
      </c>
      <c r="B178" s="1" t="s">
        <v>310</v>
      </c>
      <c r="C178" s="1" t="str">
        <v>전라북도 임실군</v>
      </c>
      <c r="D178" s="1">
        <v>127.23664715076001</v>
      </c>
      <c r="E178" s="1">
        <v>35.598202039016499</v>
      </c>
      <c r="F178" s="1" t="s">
        <v>311</v>
      </c>
    </row>
    <row r="179" spans="1:6" x14ac:dyDescent="0.4">
      <c r="A179" s="2">
        <v>45770</v>
      </c>
      <c r="B179" s="1" t="s">
        <v>312</v>
      </c>
      <c r="C179" s="1" t="str">
        <v>전라북도 순창군</v>
      </c>
      <c r="D179" s="1">
        <v>127.090086973909</v>
      </c>
      <c r="E179" s="1">
        <v>35.433634301889697</v>
      </c>
      <c r="F179" s="1" t="s">
        <v>313</v>
      </c>
    </row>
    <row r="180" spans="1:6" x14ac:dyDescent="0.4">
      <c r="A180" s="2">
        <v>45790</v>
      </c>
      <c r="B180" s="1" t="s">
        <v>314</v>
      </c>
      <c r="C180" s="1" t="str">
        <v>전라북도 고창군</v>
      </c>
      <c r="D180" s="1">
        <v>126.61604618382</v>
      </c>
      <c r="E180" s="1">
        <v>35.448167571267597</v>
      </c>
      <c r="F180" s="1" t="s">
        <v>315</v>
      </c>
    </row>
    <row r="181" spans="1:6" x14ac:dyDescent="0.4">
      <c r="A181" s="2">
        <v>45800</v>
      </c>
      <c r="B181" s="1" t="s">
        <v>316</v>
      </c>
      <c r="C181" s="1" t="str">
        <v>전라북도 부안군</v>
      </c>
      <c r="D181" s="1">
        <v>126.644377397867</v>
      </c>
      <c r="E181" s="1">
        <v>35.677922904201402</v>
      </c>
      <c r="F181" s="1" t="s">
        <v>317</v>
      </c>
    </row>
    <row r="182" spans="1:6" x14ac:dyDescent="0.4">
      <c r="A182" s="2">
        <v>46110</v>
      </c>
      <c r="B182" s="1" t="s">
        <v>244</v>
      </c>
      <c r="C182" s="1" t="str" cm="1">
        <f t="array" ref="C182:C203">"전라남도"&amp;" "&amp;F182:F203</f>
        <v>전라남도 목포시</v>
      </c>
      <c r="D182" s="1">
        <v>126.39183527988401</v>
      </c>
      <c r="E182" s="1">
        <v>34.803764160738602</v>
      </c>
      <c r="F182" s="1" t="s">
        <v>245</v>
      </c>
    </row>
    <row r="183" spans="1:6" x14ac:dyDescent="0.4">
      <c r="A183" s="2">
        <v>46130</v>
      </c>
      <c r="B183" s="1" t="s">
        <v>246</v>
      </c>
      <c r="C183" s="1" t="str">
        <v>전라남도 여수시</v>
      </c>
      <c r="D183" s="1">
        <v>127.653355313245</v>
      </c>
      <c r="E183" s="1">
        <v>34.698113500437003</v>
      </c>
      <c r="F183" s="1" t="s">
        <v>247</v>
      </c>
    </row>
    <row r="184" spans="1:6" x14ac:dyDescent="0.4">
      <c r="A184" s="2">
        <v>46150</v>
      </c>
      <c r="B184" s="1" t="s">
        <v>248</v>
      </c>
      <c r="C184" s="1" t="str">
        <v>전라남도 순천시</v>
      </c>
      <c r="D184" s="1">
        <v>127.389162729226</v>
      </c>
      <c r="E184" s="1">
        <v>34.994745055143703</v>
      </c>
      <c r="F184" s="1" t="s">
        <v>249</v>
      </c>
    </row>
    <row r="185" spans="1:6" x14ac:dyDescent="0.4">
      <c r="A185" s="2">
        <v>46170</v>
      </c>
      <c r="B185" s="1" t="s">
        <v>250</v>
      </c>
      <c r="C185" s="1" t="str">
        <v>전라남도 나주시</v>
      </c>
      <c r="D185" s="1">
        <v>126.72041032044</v>
      </c>
      <c r="E185" s="1">
        <v>34.988589395024498</v>
      </c>
      <c r="F185" s="1" t="s">
        <v>251</v>
      </c>
    </row>
    <row r="186" spans="1:6" x14ac:dyDescent="0.4">
      <c r="A186" s="2">
        <v>46230</v>
      </c>
      <c r="B186" s="1" t="s">
        <v>252</v>
      </c>
      <c r="C186" s="1" t="str">
        <v>전라남도 광양시</v>
      </c>
      <c r="D186" s="1">
        <v>127.65512791424899</v>
      </c>
      <c r="E186" s="1">
        <v>35.0218939771732</v>
      </c>
      <c r="F186" s="1" t="s">
        <v>253</v>
      </c>
    </row>
    <row r="187" spans="1:6" x14ac:dyDescent="0.4">
      <c r="A187" s="2">
        <v>46710</v>
      </c>
      <c r="B187" s="1" t="s">
        <v>254</v>
      </c>
      <c r="C187" s="1" t="str">
        <v>전라남도 담양군</v>
      </c>
      <c r="D187" s="1">
        <v>126.99529085588</v>
      </c>
      <c r="E187" s="1">
        <v>35.291495103208199</v>
      </c>
      <c r="F187" s="1" t="s">
        <v>255</v>
      </c>
    </row>
    <row r="188" spans="1:6" x14ac:dyDescent="0.4">
      <c r="A188" s="2">
        <v>46720</v>
      </c>
      <c r="B188" s="1" t="s">
        <v>256</v>
      </c>
      <c r="C188" s="1" t="str">
        <v>전라남도 곡성군</v>
      </c>
      <c r="D188" s="1">
        <v>127.263582521481</v>
      </c>
      <c r="E188" s="1">
        <v>35.216613552649498</v>
      </c>
      <c r="F188" s="1" t="s">
        <v>257</v>
      </c>
    </row>
    <row r="189" spans="1:6" x14ac:dyDescent="0.4">
      <c r="A189" s="2">
        <v>46730</v>
      </c>
      <c r="B189" s="1" t="s">
        <v>258</v>
      </c>
      <c r="C189" s="1" t="str">
        <v>전라남도 구례군</v>
      </c>
      <c r="D189" s="1">
        <v>127.503119252262</v>
      </c>
      <c r="E189" s="1">
        <v>35.236766215530899</v>
      </c>
      <c r="F189" s="1" t="s">
        <v>259</v>
      </c>
    </row>
    <row r="190" spans="1:6" x14ac:dyDescent="0.4">
      <c r="A190" s="2">
        <v>46770</v>
      </c>
      <c r="B190" s="1" t="s">
        <v>260</v>
      </c>
      <c r="C190" s="1" t="str">
        <v>전라남도 고흥군</v>
      </c>
      <c r="D190" s="1">
        <v>127.314620496808</v>
      </c>
      <c r="E190" s="1">
        <v>34.598484954425203</v>
      </c>
      <c r="F190" s="1" t="s">
        <v>261</v>
      </c>
    </row>
    <row r="191" spans="1:6" x14ac:dyDescent="0.4">
      <c r="A191" s="2">
        <v>46780</v>
      </c>
      <c r="B191" s="1" t="s">
        <v>262</v>
      </c>
      <c r="C191" s="1" t="str">
        <v>전라남도 보성군</v>
      </c>
      <c r="D191" s="1">
        <v>127.16212135652999</v>
      </c>
      <c r="E191" s="1">
        <v>34.814374897543203</v>
      </c>
      <c r="F191" s="1" t="s">
        <v>263</v>
      </c>
    </row>
    <row r="192" spans="1:6" x14ac:dyDescent="0.4">
      <c r="A192" s="2">
        <v>46790</v>
      </c>
      <c r="B192" s="1" t="s">
        <v>264</v>
      </c>
      <c r="C192" s="1" t="str">
        <v>전라남도 화순군</v>
      </c>
      <c r="D192" s="1">
        <v>127.03343353596701</v>
      </c>
      <c r="E192" s="1">
        <v>35.0081857265845</v>
      </c>
      <c r="F192" s="1" t="s">
        <v>265</v>
      </c>
    </row>
    <row r="193" spans="1:6" x14ac:dyDescent="0.4">
      <c r="A193" s="2">
        <v>46800</v>
      </c>
      <c r="B193" s="1" t="s">
        <v>266</v>
      </c>
      <c r="C193" s="1" t="str">
        <v>전라남도 장흥군</v>
      </c>
      <c r="D193" s="1">
        <v>126.92153234303299</v>
      </c>
      <c r="E193" s="1">
        <v>34.676537011108302</v>
      </c>
      <c r="F193" s="1" t="s">
        <v>267</v>
      </c>
    </row>
    <row r="194" spans="1:6" x14ac:dyDescent="0.4">
      <c r="A194" s="2">
        <v>46810</v>
      </c>
      <c r="B194" s="1" t="s">
        <v>268</v>
      </c>
      <c r="C194" s="1" t="str">
        <v>전라남도 강진군</v>
      </c>
      <c r="D194" s="1">
        <v>126.772156286377</v>
      </c>
      <c r="E194" s="1">
        <v>34.620409967831698</v>
      </c>
      <c r="F194" s="1" t="s">
        <v>269</v>
      </c>
    </row>
    <row r="195" spans="1:6" x14ac:dyDescent="0.4">
      <c r="A195" s="2">
        <v>46820</v>
      </c>
      <c r="B195" s="1" t="s">
        <v>270</v>
      </c>
      <c r="C195" s="1" t="str">
        <v>전라남도 해남군</v>
      </c>
      <c r="D195" s="1">
        <v>126.51171496166501</v>
      </c>
      <c r="E195" s="1">
        <v>34.5586722784995</v>
      </c>
      <c r="F195" s="1" t="s">
        <v>271</v>
      </c>
    </row>
    <row r="196" spans="1:6" x14ac:dyDescent="0.4">
      <c r="A196" s="2">
        <v>46830</v>
      </c>
      <c r="B196" s="1" t="s">
        <v>272</v>
      </c>
      <c r="C196" s="1" t="str">
        <v>전라남도 영암군</v>
      </c>
      <c r="D196" s="1">
        <v>126.630694486251</v>
      </c>
      <c r="E196" s="1">
        <v>34.799566715488702</v>
      </c>
      <c r="F196" s="1" t="s">
        <v>273</v>
      </c>
    </row>
    <row r="197" spans="1:6" x14ac:dyDescent="0.4">
      <c r="A197" s="2">
        <v>46840</v>
      </c>
      <c r="B197" s="1" t="s">
        <v>274</v>
      </c>
      <c r="C197" s="1" t="str">
        <v>전라남도 무안군</v>
      </c>
      <c r="D197" s="1">
        <v>126.42590789480801</v>
      </c>
      <c r="E197" s="1">
        <v>34.953204493718701</v>
      </c>
      <c r="F197" s="1" t="s">
        <v>275</v>
      </c>
    </row>
    <row r="198" spans="1:6" x14ac:dyDescent="0.4">
      <c r="A198" s="2">
        <v>46860</v>
      </c>
      <c r="B198" s="1" t="s">
        <v>276</v>
      </c>
      <c r="C198" s="1" t="str">
        <v>전라남도 함평군</v>
      </c>
      <c r="D198" s="1">
        <v>126.535604073215</v>
      </c>
      <c r="E198" s="1">
        <v>35.112670535458797</v>
      </c>
      <c r="F198" s="1" t="s">
        <v>277</v>
      </c>
    </row>
    <row r="199" spans="1:6" x14ac:dyDescent="0.4">
      <c r="A199" s="2">
        <v>46870</v>
      </c>
      <c r="B199" s="1" t="s">
        <v>278</v>
      </c>
      <c r="C199" s="1" t="str">
        <v>전라남도 영광군</v>
      </c>
      <c r="D199" s="1">
        <v>126.453129290159</v>
      </c>
      <c r="E199" s="1">
        <v>35.278486028896097</v>
      </c>
      <c r="F199" s="1" t="s">
        <v>279</v>
      </c>
    </row>
    <row r="200" spans="1:6" x14ac:dyDescent="0.4">
      <c r="A200" s="2">
        <v>46880</v>
      </c>
      <c r="B200" s="1" t="s">
        <v>280</v>
      </c>
      <c r="C200" s="1" t="str">
        <v>전라남도 장성군</v>
      </c>
      <c r="D200" s="1">
        <v>126.76849489913501</v>
      </c>
      <c r="E200" s="1">
        <v>35.329564365493802</v>
      </c>
      <c r="F200" s="1" t="s">
        <v>281</v>
      </c>
    </row>
    <row r="201" spans="1:6" x14ac:dyDescent="0.4">
      <c r="A201" s="2">
        <v>46890</v>
      </c>
      <c r="B201" s="1" t="s">
        <v>282</v>
      </c>
      <c r="C201" s="1" t="str">
        <v>전라남도 완도군</v>
      </c>
      <c r="D201" s="1">
        <v>126.776806856665</v>
      </c>
      <c r="E201" s="1">
        <v>34.295579328825397</v>
      </c>
      <c r="F201" s="1" t="s">
        <v>283</v>
      </c>
    </row>
    <row r="202" spans="1:6" x14ac:dyDescent="0.4">
      <c r="A202" s="2">
        <v>46900</v>
      </c>
      <c r="B202" s="1" t="s">
        <v>284</v>
      </c>
      <c r="C202" s="1" t="str">
        <v>전라남도 진도군</v>
      </c>
      <c r="D202" s="1">
        <v>126.215057844789</v>
      </c>
      <c r="E202" s="1">
        <v>34.439396381010802</v>
      </c>
      <c r="F202" s="1" t="s">
        <v>285</v>
      </c>
    </row>
    <row r="203" spans="1:6" x14ac:dyDescent="0.4">
      <c r="A203" s="2">
        <v>46910</v>
      </c>
      <c r="B203" s="1" t="s">
        <v>286</v>
      </c>
      <c r="C203" s="1" t="str">
        <v>전라남도 신안군</v>
      </c>
      <c r="D203" s="1">
        <v>126.04890702742399</v>
      </c>
      <c r="E203" s="1">
        <v>34.8124065427183</v>
      </c>
      <c r="F203" s="1" t="s">
        <v>287</v>
      </c>
    </row>
    <row r="204" spans="1:6" x14ac:dyDescent="0.4">
      <c r="A204" s="2">
        <v>47111</v>
      </c>
      <c r="B204" s="1" t="s">
        <v>143</v>
      </c>
      <c r="C204" s="1" t="s">
        <v>478</v>
      </c>
      <c r="D204" s="1">
        <v>129.43761667189401</v>
      </c>
      <c r="E204" s="1">
        <v>35.9583945541752</v>
      </c>
      <c r="F204" s="1" t="s">
        <v>382</v>
      </c>
    </row>
    <row r="205" spans="1:6" x14ac:dyDescent="0.4">
      <c r="A205" s="2">
        <v>47113</v>
      </c>
      <c r="B205" s="1" t="s">
        <v>144</v>
      </c>
      <c r="C205" s="1" t="s">
        <v>478</v>
      </c>
      <c r="D205" s="1">
        <v>129.23405313974999</v>
      </c>
      <c r="E205" s="1">
        <v>36.165054987692997</v>
      </c>
      <c r="F205" s="1" t="s">
        <v>383</v>
      </c>
    </row>
    <row r="206" spans="1:6" x14ac:dyDescent="0.4">
      <c r="A206" s="2">
        <v>47130</v>
      </c>
      <c r="B206" s="1" t="s">
        <v>145</v>
      </c>
      <c r="C206" s="1" t="str" cm="1">
        <f t="array" ref="C206:C227">"경상북도"&amp;" "&amp;F206:F227</f>
        <v>경상북도 경주시</v>
      </c>
      <c r="D206" s="1">
        <v>129.235929627697</v>
      </c>
      <c r="E206" s="1">
        <v>35.826642801502203</v>
      </c>
      <c r="F206" s="1" t="s">
        <v>146</v>
      </c>
    </row>
    <row r="207" spans="1:6" x14ac:dyDescent="0.4">
      <c r="A207" s="2">
        <v>47150</v>
      </c>
      <c r="B207" s="1" t="s">
        <v>147</v>
      </c>
      <c r="C207" s="1" t="str">
        <v>경상북도 김천시</v>
      </c>
      <c r="D207" s="1">
        <v>128.077707549124</v>
      </c>
      <c r="E207" s="1">
        <v>36.060423858871701</v>
      </c>
      <c r="F207" s="1" t="s">
        <v>148</v>
      </c>
    </row>
    <row r="208" spans="1:6" x14ac:dyDescent="0.4">
      <c r="A208" s="2">
        <v>47170</v>
      </c>
      <c r="B208" s="1" t="s">
        <v>149</v>
      </c>
      <c r="C208" s="1" t="str">
        <v>경상북도 안동시</v>
      </c>
      <c r="D208" s="1">
        <v>128.780042683869</v>
      </c>
      <c r="E208" s="1">
        <v>36.580242205602197</v>
      </c>
      <c r="F208" s="1" t="s">
        <v>150</v>
      </c>
    </row>
    <row r="209" spans="1:6" x14ac:dyDescent="0.4">
      <c r="A209" s="2">
        <v>47190</v>
      </c>
      <c r="B209" s="1" t="s">
        <v>151</v>
      </c>
      <c r="C209" s="1" t="str">
        <v>경상북도 구미시</v>
      </c>
      <c r="D209" s="1">
        <v>128.35555547951401</v>
      </c>
      <c r="E209" s="1">
        <v>36.207309640922702</v>
      </c>
      <c r="F209" s="1" t="s">
        <v>152</v>
      </c>
    </row>
    <row r="210" spans="1:6" x14ac:dyDescent="0.4">
      <c r="A210" s="2">
        <v>47210</v>
      </c>
      <c r="B210" s="1" t="s">
        <v>153</v>
      </c>
      <c r="C210" s="1" t="str">
        <v>경상북도 영주시</v>
      </c>
      <c r="D210" s="1">
        <v>128.59768261657399</v>
      </c>
      <c r="E210" s="1">
        <v>36.870475401170701</v>
      </c>
      <c r="F210" s="1" t="s">
        <v>154</v>
      </c>
    </row>
    <row r="211" spans="1:6" x14ac:dyDescent="0.4">
      <c r="A211" s="2">
        <v>47230</v>
      </c>
      <c r="B211" s="1" t="s">
        <v>155</v>
      </c>
      <c r="C211" s="1" t="str">
        <v>경상북도 영천시</v>
      </c>
      <c r="D211" s="1">
        <v>128.94262401550699</v>
      </c>
      <c r="E211" s="1">
        <v>36.015778438694298</v>
      </c>
      <c r="F211" s="1" t="s">
        <v>156</v>
      </c>
    </row>
    <row r="212" spans="1:6" x14ac:dyDescent="0.4">
      <c r="A212" s="2">
        <v>47250</v>
      </c>
      <c r="B212" s="1" t="s">
        <v>157</v>
      </c>
      <c r="C212" s="1" t="str">
        <v>경상북도 상주시</v>
      </c>
      <c r="D212" s="1">
        <v>128.067007021683</v>
      </c>
      <c r="E212" s="1">
        <v>36.4295023415796</v>
      </c>
      <c r="F212" s="1" t="s">
        <v>158</v>
      </c>
    </row>
    <row r="213" spans="1:6" x14ac:dyDescent="0.4">
      <c r="A213" s="2">
        <v>47280</v>
      </c>
      <c r="B213" s="1" t="s">
        <v>159</v>
      </c>
      <c r="C213" s="1" t="str">
        <v>경상북도 문경시</v>
      </c>
      <c r="D213" s="1">
        <v>128.14860817477501</v>
      </c>
      <c r="E213" s="1">
        <v>36.690791513485301</v>
      </c>
      <c r="F213" s="1" t="s">
        <v>160</v>
      </c>
    </row>
    <row r="214" spans="1:6" x14ac:dyDescent="0.4">
      <c r="A214" s="2">
        <v>47290</v>
      </c>
      <c r="B214" s="1" t="s">
        <v>161</v>
      </c>
      <c r="C214" s="1" t="str">
        <v>경상북도 경산시</v>
      </c>
      <c r="D214" s="1">
        <v>128.80905515042599</v>
      </c>
      <c r="E214" s="1">
        <v>35.8340600684161</v>
      </c>
      <c r="F214" s="1" t="s">
        <v>162</v>
      </c>
    </row>
    <row r="215" spans="1:6" x14ac:dyDescent="0.4">
      <c r="A215" s="2">
        <v>47720</v>
      </c>
      <c r="B215" s="1" t="s">
        <v>163</v>
      </c>
      <c r="C215" s="1" t="str">
        <v>경상북도 군위군</v>
      </c>
      <c r="D215" s="1">
        <v>128.64822460165701</v>
      </c>
      <c r="E215" s="1">
        <v>36.170112083694399</v>
      </c>
      <c r="F215" s="1" t="s">
        <v>164</v>
      </c>
    </row>
    <row r="216" spans="1:6" x14ac:dyDescent="0.4">
      <c r="A216" s="2">
        <v>47730</v>
      </c>
      <c r="B216" s="1" t="s">
        <v>165</v>
      </c>
      <c r="C216" s="1" t="str">
        <v>경상북도 의성군</v>
      </c>
      <c r="D216" s="1">
        <v>128.61506730951501</v>
      </c>
      <c r="E216" s="1">
        <v>36.362044512909399</v>
      </c>
      <c r="F216" s="1" t="s">
        <v>166</v>
      </c>
    </row>
    <row r="217" spans="1:6" x14ac:dyDescent="0.4">
      <c r="A217" s="2">
        <v>47750</v>
      </c>
      <c r="B217" s="1" t="s">
        <v>167</v>
      </c>
      <c r="C217" s="1" t="str">
        <v>경상북도 청송군</v>
      </c>
      <c r="D217" s="1">
        <v>129.05738517931101</v>
      </c>
      <c r="E217" s="1">
        <v>36.356976427887197</v>
      </c>
      <c r="F217" s="1" t="s">
        <v>168</v>
      </c>
    </row>
    <row r="218" spans="1:6" x14ac:dyDescent="0.4">
      <c r="A218" s="2">
        <v>47760</v>
      </c>
      <c r="B218" s="1" t="s">
        <v>169</v>
      </c>
      <c r="C218" s="1" t="str">
        <v>경상북도 영양군</v>
      </c>
      <c r="D218" s="1">
        <v>129.145030452247</v>
      </c>
      <c r="E218" s="1">
        <v>36.696388830289997</v>
      </c>
      <c r="F218" s="1" t="s">
        <v>170</v>
      </c>
    </row>
    <row r="219" spans="1:6" x14ac:dyDescent="0.4">
      <c r="A219" s="2">
        <v>47770</v>
      </c>
      <c r="B219" s="1" t="s">
        <v>171</v>
      </c>
      <c r="C219" s="1" t="str">
        <v>경상북도 영덕군</v>
      </c>
      <c r="D219" s="1">
        <v>129.31737621079699</v>
      </c>
      <c r="E219" s="1">
        <v>36.482387694544798</v>
      </c>
      <c r="F219" s="1" t="s">
        <v>172</v>
      </c>
    </row>
    <row r="220" spans="1:6" x14ac:dyDescent="0.4">
      <c r="A220" s="2">
        <v>47820</v>
      </c>
      <c r="B220" s="1" t="s">
        <v>173</v>
      </c>
      <c r="C220" s="1" t="str">
        <v>경상북도 청도군</v>
      </c>
      <c r="D220" s="1">
        <v>128.78652700766901</v>
      </c>
      <c r="E220" s="1">
        <v>35.672974780882001</v>
      </c>
      <c r="F220" s="1" t="s">
        <v>174</v>
      </c>
    </row>
    <row r="221" spans="1:6" x14ac:dyDescent="0.4">
      <c r="A221" s="2">
        <v>47830</v>
      </c>
      <c r="B221" s="1" t="s">
        <v>175</v>
      </c>
      <c r="C221" s="1" t="str">
        <v>경상북도 고령군</v>
      </c>
      <c r="D221" s="1">
        <v>128.30673370969799</v>
      </c>
      <c r="E221" s="1">
        <v>35.737197116164502</v>
      </c>
      <c r="F221" s="1" t="s">
        <v>176</v>
      </c>
    </row>
    <row r="222" spans="1:6" x14ac:dyDescent="0.4">
      <c r="A222" s="2">
        <v>47840</v>
      </c>
      <c r="B222" s="1" t="s">
        <v>177</v>
      </c>
      <c r="C222" s="1" t="str">
        <v>경상북도 성주군</v>
      </c>
      <c r="D222" s="1">
        <v>128.233393081636</v>
      </c>
      <c r="E222" s="1">
        <v>35.907223421596001</v>
      </c>
      <c r="F222" s="1" t="s">
        <v>178</v>
      </c>
    </row>
    <row r="223" spans="1:6" x14ac:dyDescent="0.4">
      <c r="A223" s="2">
        <v>47850</v>
      </c>
      <c r="B223" s="1" t="s">
        <v>179</v>
      </c>
      <c r="C223" s="1" t="str">
        <v>경상북도 칠곡군</v>
      </c>
      <c r="D223" s="1">
        <v>128.46258382615099</v>
      </c>
      <c r="E223" s="1">
        <v>36.015511311124101</v>
      </c>
      <c r="F223" s="1" t="s">
        <v>180</v>
      </c>
    </row>
    <row r="224" spans="1:6" x14ac:dyDescent="0.4">
      <c r="A224" s="2">
        <v>47900</v>
      </c>
      <c r="B224" s="1" t="s">
        <v>181</v>
      </c>
      <c r="C224" s="1" t="str">
        <v>경상북도 예천군</v>
      </c>
      <c r="D224" s="1">
        <v>128.42238404626099</v>
      </c>
      <c r="E224" s="1">
        <v>36.653845272458298</v>
      </c>
      <c r="F224" s="1" t="s">
        <v>182</v>
      </c>
    </row>
    <row r="225" spans="1:6" x14ac:dyDescent="0.4">
      <c r="A225" s="2">
        <v>47920</v>
      </c>
      <c r="B225" s="1" t="s">
        <v>183</v>
      </c>
      <c r="C225" s="1" t="str">
        <v>경상북도 봉화군</v>
      </c>
      <c r="D225" s="1">
        <v>128.91290040087301</v>
      </c>
      <c r="E225" s="1">
        <v>36.934140157556101</v>
      </c>
      <c r="F225" s="1" t="s">
        <v>184</v>
      </c>
    </row>
    <row r="226" spans="1:6" x14ac:dyDescent="0.4">
      <c r="A226" s="2">
        <v>47930</v>
      </c>
      <c r="B226" s="1" t="s">
        <v>185</v>
      </c>
      <c r="C226" s="1" t="str">
        <v>경상북도 울진군</v>
      </c>
      <c r="D226" s="1">
        <v>129.31231855913401</v>
      </c>
      <c r="E226" s="1">
        <v>36.903913132520003</v>
      </c>
      <c r="F226" s="1" t="s">
        <v>186</v>
      </c>
    </row>
    <row r="227" spans="1:6" x14ac:dyDescent="0.4">
      <c r="A227" s="2">
        <v>47940</v>
      </c>
      <c r="B227" s="1" t="s">
        <v>187</v>
      </c>
      <c r="C227" s="1" t="str">
        <v>경상북도 울릉군</v>
      </c>
      <c r="D227" s="1">
        <v>130.864188011946</v>
      </c>
      <c r="E227" s="1">
        <v>37.5019696888155</v>
      </c>
      <c r="F227" s="1" t="s">
        <v>188</v>
      </c>
    </row>
    <row r="228" spans="1:6" x14ac:dyDescent="0.4">
      <c r="A228" s="2">
        <v>48121</v>
      </c>
      <c r="B228" s="1" t="s">
        <v>106</v>
      </c>
      <c r="C228" s="1" t="s">
        <v>384</v>
      </c>
      <c r="D228" s="1">
        <v>128.649555126064</v>
      </c>
      <c r="E228" s="1">
        <v>35.309103276444297</v>
      </c>
      <c r="F228" s="1" t="s">
        <v>384</v>
      </c>
    </row>
    <row r="229" spans="1:6" x14ac:dyDescent="0.4">
      <c r="A229" s="2">
        <v>48123</v>
      </c>
      <c r="B229" s="1" t="s">
        <v>107</v>
      </c>
      <c r="C229" s="1" t="s">
        <v>385</v>
      </c>
      <c r="D229" s="1">
        <v>128.672073660796</v>
      </c>
      <c r="E229" s="1">
        <v>35.196370360639698</v>
      </c>
      <c r="F229" s="1" t="s">
        <v>385</v>
      </c>
    </row>
    <row r="230" spans="1:6" x14ac:dyDescent="0.4">
      <c r="A230" s="2">
        <v>48125</v>
      </c>
      <c r="B230" s="1" t="s">
        <v>108</v>
      </c>
      <c r="C230" s="1" t="s">
        <v>386</v>
      </c>
      <c r="D230" s="1">
        <v>128.485255846076</v>
      </c>
      <c r="E230" s="1">
        <v>35.135458059655001</v>
      </c>
      <c r="F230" s="1" t="s">
        <v>386</v>
      </c>
    </row>
    <row r="231" spans="1:6" x14ac:dyDescent="0.4">
      <c r="A231" s="2">
        <v>48127</v>
      </c>
      <c r="B231" s="1" t="s">
        <v>109</v>
      </c>
      <c r="C231" s="1" t="s">
        <v>387</v>
      </c>
      <c r="D231" s="1">
        <v>128.53643316420801</v>
      </c>
      <c r="E231" s="1">
        <v>35.232226587636298</v>
      </c>
      <c r="F231" s="1" t="s">
        <v>387</v>
      </c>
    </row>
    <row r="232" spans="1:6" x14ac:dyDescent="0.4">
      <c r="A232" s="2">
        <v>48129</v>
      </c>
      <c r="B232" s="1" t="s">
        <v>110</v>
      </c>
      <c r="C232" s="1" t="s">
        <v>388</v>
      </c>
      <c r="D232" s="1">
        <v>128.73630082645201</v>
      </c>
      <c r="E232" s="1">
        <v>35.129949453716797</v>
      </c>
      <c r="F232" s="1" t="s">
        <v>388</v>
      </c>
    </row>
    <row r="233" spans="1:6" x14ac:dyDescent="0.4">
      <c r="A233" s="2">
        <v>48170</v>
      </c>
      <c r="B233" s="1" t="s">
        <v>111</v>
      </c>
      <c r="C233" s="1" t="str" cm="1">
        <f t="array" ref="C233:C249">"경상남도"&amp;" "&amp;F233:F249</f>
        <v>경상남도 진주시</v>
      </c>
      <c r="D233" s="1">
        <v>128.12980113082699</v>
      </c>
      <c r="E233" s="1">
        <v>35.205157645861803</v>
      </c>
      <c r="F233" s="1" t="s">
        <v>112</v>
      </c>
    </row>
    <row r="234" spans="1:6" x14ac:dyDescent="0.4">
      <c r="A234" s="2">
        <v>48220</v>
      </c>
      <c r="B234" s="1" t="s">
        <v>113</v>
      </c>
      <c r="C234" s="1" t="str">
        <v>경상남도 통영시</v>
      </c>
      <c r="D234" s="1">
        <v>128.374075369107</v>
      </c>
      <c r="E234" s="1">
        <v>34.829417411139701</v>
      </c>
      <c r="F234" s="1" t="s">
        <v>114</v>
      </c>
    </row>
    <row r="235" spans="1:6" x14ac:dyDescent="0.4">
      <c r="A235" s="2">
        <v>48240</v>
      </c>
      <c r="B235" s="1" t="s">
        <v>115</v>
      </c>
      <c r="C235" s="1" t="str">
        <v>경상남도 사천시</v>
      </c>
      <c r="D235" s="1">
        <v>128.03769634830601</v>
      </c>
      <c r="E235" s="1">
        <v>35.049703413090597</v>
      </c>
      <c r="F235" s="1" t="s">
        <v>116</v>
      </c>
    </row>
    <row r="236" spans="1:6" x14ac:dyDescent="0.4">
      <c r="A236" s="2">
        <v>48250</v>
      </c>
      <c r="B236" s="1" t="s">
        <v>117</v>
      </c>
      <c r="C236" s="1" t="str">
        <v>경상남도 김해시</v>
      </c>
      <c r="D236" s="1">
        <v>128.845215755417</v>
      </c>
      <c r="E236" s="1">
        <v>35.272156420575698</v>
      </c>
      <c r="F236" s="1" t="s">
        <v>118</v>
      </c>
    </row>
    <row r="237" spans="1:6" x14ac:dyDescent="0.4">
      <c r="A237" s="2">
        <v>48270</v>
      </c>
      <c r="B237" s="1" t="s">
        <v>119</v>
      </c>
      <c r="C237" s="1" t="str">
        <v>경상남도 밀양시</v>
      </c>
      <c r="D237" s="1">
        <v>128.789601450872</v>
      </c>
      <c r="E237" s="1">
        <v>35.498499696295099</v>
      </c>
      <c r="F237" s="1" t="s">
        <v>120</v>
      </c>
    </row>
    <row r="238" spans="1:6" x14ac:dyDescent="0.4">
      <c r="A238" s="2">
        <v>48310</v>
      </c>
      <c r="B238" s="1" t="s">
        <v>121</v>
      </c>
      <c r="C238" s="1" t="str">
        <v>경상남도 거제시</v>
      </c>
      <c r="D238" s="1">
        <v>128.623135098848</v>
      </c>
      <c r="E238" s="1">
        <v>34.870616504793702</v>
      </c>
      <c r="F238" s="1" t="s">
        <v>122</v>
      </c>
    </row>
    <row r="239" spans="1:6" x14ac:dyDescent="0.4">
      <c r="A239" s="2">
        <v>48330</v>
      </c>
      <c r="B239" s="1" t="s">
        <v>123</v>
      </c>
      <c r="C239" s="1" t="str">
        <v>경상남도 양산시</v>
      </c>
      <c r="D239" s="1">
        <v>129.04104144169199</v>
      </c>
      <c r="E239" s="1">
        <v>35.4018882102364</v>
      </c>
      <c r="F239" s="1" t="s">
        <v>124</v>
      </c>
    </row>
    <row r="240" spans="1:6" x14ac:dyDescent="0.4">
      <c r="A240" s="2">
        <v>48720</v>
      </c>
      <c r="B240" s="1" t="s">
        <v>125</v>
      </c>
      <c r="C240" s="1" t="str">
        <v>경상남도 의령군</v>
      </c>
      <c r="D240" s="1">
        <v>128.277057796641</v>
      </c>
      <c r="E240" s="1">
        <v>35.392431016129301</v>
      </c>
      <c r="F240" s="1" t="s">
        <v>126</v>
      </c>
    </row>
    <row r="241" spans="1:6" x14ac:dyDescent="0.4">
      <c r="A241" s="2">
        <v>48730</v>
      </c>
      <c r="B241" s="1" t="s">
        <v>127</v>
      </c>
      <c r="C241" s="1" t="str">
        <v>경상남도 함안군</v>
      </c>
      <c r="D241" s="1">
        <v>128.430876889514</v>
      </c>
      <c r="E241" s="1">
        <v>35.291002807263503</v>
      </c>
      <c r="F241" s="1" t="s">
        <v>128</v>
      </c>
    </row>
    <row r="242" spans="1:6" x14ac:dyDescent="0.4">
      <c r="A242" s="2">
        <v>48740</v>
      </c>
      <c r="B242" s="1" t="s">
        <v>129</v>
      </c>
      <c r="C242" s="1" t="str">
        <v>경상남도 창녕군</v>
      </c>
      <c r="D242" s="1">
        <v>128.49305192575099</v>
      </c>
      <c r="E242" s="1">
        <v>35.508227730291303</v>
      </c>
      <c r="F242" s="1" t="s">
        <v>130</v>
      </c>
    </row>
    <row r="243" spans="1:6" x14ac:dyDescent="0.4">
      <c r="A243" s="2">
        <v>48820</v>
      </c>
      <c r="B243" s="1" t="s">
        <v>37</v>
      </c>
      <c r="C243" s="1" t="str">
        <v>경상남도 고성군</v>
      </c>
      <c r="D243" s="1">
        <v>128.29066319137999</v>
      </c>
      <c r="E243" s="1">
        <v>35.0163044726865</v>
      </c>
      <c r="F243" s="1" t="s">
        <v>38</v>
      </c>
    </row>
    <row r="244" spans="1:6" x14ac:dyDescent="0.4">
      <c r="A244" s="2">
        <v>48840</v>
      </c>
      <c r="B244" s="1" t="s">
        <v>131</v>
      </c>
      <c r="C244" s="1" t="str">
        <v>경상남도 남해군</v>
      </c>
      <c r="D244" s="1">
        <v>127.94114052543</v>
      </c>
      <c r="E244" s="1">
        <v>34.818290979649298</v>
      </c>
      <c r="F244" s="1" t="s">
        <v>132</v>
      </c>
    </row>
    <row r="245" spans="1:6" x14ac:dyDescent="0.4">
      <c r="A245" s="2">
        <v>48850</v>
      </c>
      <c r="B245" s="1" t="s">
        <v>133</v>
      </c>
      <c r="C245" s="1" t="str">
        <v>경상남도 하동군</v>
      </c>
      <c r="D245" s="1">
        <v>127.779049000006</v>
      </c>
      <c r="E245" s="1">
        <v>35.138304625473999</v>
      </c>
      <c r="F245" s="1" t="s">
        <v>134</v>
      </c>
    </row>
    <row r="246" spans="1:6" x14ac:dyDescent="0.4">
      <c r="A246" s="2">
        <v>48860</v>
      </c>
      <c r="B246" s="1" t="s">
        <v>135</v>
      </c>
      <c r="C246" s="1" t="str">
        <v>경상남도 산청군</v>
      </c>
      <c r="D246" s="1">
        <v>127.88433791961199</v>
      </c>
      <c r="E246" s="1">
        <v>35.368597360549202</v>
      </c>
      <c r="F246" s="1" t="s">
        <v>136</v>
      </c>
    </row>
    <row r="247" spans="1:6" x14ac:dyDescent="0.4">
      <c r="A247" s="2">
        <v>48870</v>
      </c>
      <c r="B247" s="1" t="s">
        <v>137</v>
      </c>
      <c r="C247" s="1" t="str">
        <v>경상남도 함양군</v>
      </c>
      <c r="D247" s="1">
        <v>127.72204105707701</v>
      </c>
      <c r="E247" s="1">
        <v>35.551601705969603</v>
      </c>
      <c r="F247" s="1" t="s">
        <v>138</v>
      </c>
    </row>
    <row r="248" spans="1:6" x14ac:dyDescent="0.4">
      <c r="A248" s="2">
        <v>48880</v>
      </c>
      <c r="B248" s="1" t="s">
        <v>139</v>
      </c>
      <c r="C248" s="1" t="str">
        <v>경상남도 거창군</v>
      </c>
      <c r="D248" s="1">
        <v>127.90416955131001</v>
      </c>
      <c r="E248" s="1">
        <v>35.732552192842299</v>
      </c>
      <c r="F248" s="1" t="s">
        <v>140</v>
      </c>
    </row>
    <row r="249" spans="1:6" x14ac:dyDescent="0.4">
      <c r="A249" s="2">
        <v>48890</v>
      </c>
      <c r="B249" s="1" t="s">
        <v>141</v>
      </c>
      <c r="C249" s="1" t="str">
        <v>경상남도 합천군</v>
      </c>
      <c r="D249" s="1">
        <v>128.141543703888</v>
      </c>
      <c r="E249" s="1">
        <v>35.576577454880102</v>
      </c>
      <c r="F249" s="1" t="s">
        <v>142</v>
      </c>
    </row>
    <row r="250" spans="1:6" ht="34.799999999999997" x14ac:dyDescent="0.4">
      <c r="A250" s="2">
        <v>50110</v>
      </c>
      <c r="B250" s="1" t="s">
        <v>318</v>
      </c>
      <c r="C250" s="1" t="s">
        <v>479</v>
      </c>
      <c r="D250" s="1">
        <v>126.529247612329</v>
      </c>
      <c r="E250" s="1">
        <v>33.442201879181098</v>
      </c>
      <c r="F250" s="1" t="s">
        <v>319</v>
      </c>
    </row>
    <row r="251" spans="1:6" ht="34.799999999999997" x14ac:dyDescent="0.4">
      <c r="A251" s="2">
        <v>50130</v>
      </c>
      <c r="B251" s="1" t="s">
        <v>320</v>
      </c>
      <c r="C251" s="1" t="s">
        <v>480</v>
      </c>
      <c r="D251" s="1">
        <v>126.581085738056</v>
      </c>
      <c r="E251" s="1">
        <v>33.325040267592101</v>
      </c>
      <c r="F251" s="1" t="s">
        <v>321</v>
      </c>
    </row>
  </sheetData>
  <autoFilter ref="A1:E1" xr:uid="{297C76F0-EA96-4851-8AEF-F0A7A2BEEC43}">
    <sortState xmlns:xlrd2="http://schemas.microsoft.com/office/spreadsheetml/2017/richdata2" ref="A2:E251">
      <sortCondition ref="A1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yizi yoon</cp:lastModifiedBy>
  <dcterms:created xsi:type="dcterms:W3CDTF">2021-12-19T10:25:25Z</dcterms:created>
  <dcterms:modified xsi:type="dcterms:W3CDTF">2022-02-10T01:51:59Z</dcterms:modified>
</cp:coreProperties>
</file>